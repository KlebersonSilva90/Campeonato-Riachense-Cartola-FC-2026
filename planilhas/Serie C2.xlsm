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381BEE9D-9392-4F84-B73E-2D57948A1056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A89" i="3" s="1"/>
  <c r="B89" i="3" s="1"/>
  <c r="Q88" i="3"/>
  <c r="P88" i="3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A79" i="3" s="1"/>
  <c r="B79" i="3" s="1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/>
  <c r="O58" i="3"/>
  <c r="N58" i="3"/>
  <c r="D58" i="3"/>
  <c r="C58" i="3"/>
  <c r="A58" i="3" s="1"/>
  <c r="B58" i="3" s="1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AD21" i="3" s="1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AE12" i="3" s="1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4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2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39" i="3" l="1"/>
  <c r="B39" i="3" s="1"/>
  <c r="A40" i="3"/>
  <c r="B40" i="3" s="1"/>
  <c r="A43" i="3"/>
  <c r="B43" i="3" s="1"/>
  <c r="A27" i="3"/>
  <c r="B27" i="3" s="1"/>
  <c r="AD11" i="3"/>
  <c r="A30" i="3"/>
  <c r="B30" i="3" s="1"/>
  <c r="A35" i="3"/>
  <c r="B35" i="3" s="1"/>
  <c r="A36" i="3"/>
  <c r="B36" i="3" s="1"/>
  <c r="AD20" i="3"/>
  <c r="A31" i="3"/>
  <c r="B31" i="3" s="1"/>
  <c r="A34" i="3"/>
  <c r="B34" i="3" s="1"/>
  <c r="A22" i="3"/>
  <c r="B22" i="3" s="1"/>
  <c r="A10" i="3"/>
  <c r="B10" i="3" s="1"/>
  <c r="AE11" i="3"/>
  <c r="AE19" i="3"/>
  <c r="AE9" i="3"/>
  <c r="AE8" i="3"/>
  <c r="AD8" i="3"/>
  <c r="A226" i="3"/>
  <c r="B226" i="3" s="1"/>
  <c r="AD22" i="3"/>
  <c r="AD258" i="3" s="1"/>
  <c r="AD18" i="3"/>
  <c r="AE15" i="3"/>
  <c r="AD9" i="3"/>
  <c r="AE22" i="3"/>
  <c r="A5" i="3"/>
  <c r="B5" i="3" s="1"/>
  <c r="AD4" i="3"/>
  <c r="AF4" i="3" s="1"/>
  <c r="AD15" i="3"/>
  <c r="AD16" i="3"/>
  <c r="AE17" i="3"/>
  <c r="A17" i="3"/>
  <c r="B17" i="3" s="1"/>
  <c r="AC7" i="3" s="1"/>
  <c r="AE16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C16" i="3" s="1"/>
  <c r="AD17" i="3"/>
  <c r="AE10" i="3"/>
  <c r="AE6" i="3"/>
  <c r="AE14" i="3"/>
  <c r="AE18" i="3"/>
  <c r="AD7" i="3"/>
  <c r="AE20" i="3"/>
  <c r="AF20" i="3" s="1"/>
  <c r="AD3" i="3"/>
  <c r="A15" i="3"/>
  <c r="B15" i="3" s="1"/>
  <c r="AC20" i="3" s="1"/>
  <c r="AD6" i="3"/>
  <c r="A4" i="3"/>
  <c r="B4" i="3" s="1"/>
  <c r="AD14" i="3"/>
  <c r="AD19" i="3"/>
  <c r="A8" i="3"/>
  <c r="B8" i="3" s="1"/>
  <c r="AE13" i="3"/>
  <c r="AE3" i="3"/>
  <c r="AD5" i="3"/>
  <c r="A16" i="3"/>
  <c r="B16" i="3" s="1"/>
  <c r="AB17" i="3" s="1"/>
  <c r="AE7" i="3"/>
  <c r="AD10" i="3"/>
  <c r="AC6" i="3"/>
  <c r="AB6" i="3"/>
  <c r="AA6" i="3"/>
  <c r="AB20" i="3"/>
  <c r="AA20" i="3"/>
  <c r="AA7" i="3"/>
  <c r="AC4" i="3"/>
  <c r="AB4" i="3"/>
  <c r="AA4" i="3"/>
  <c r="A6" i="3"/>
  <c r="B6" i="3" s="1"/>
  <c r="A18" i="3"/>
  <c r="B18" i="3" s="1"/>
  <c r="A3" i="3"/>
  <c r="B3" i="3" s="1"/>
  <c r="A7" i="3"/>
  <c r="B7" i="3" s="1"/>
  <c r="AD13" i="3"/>
  <c r="A11" i="3"/>
  <c r="B11" i="3" s="1"/>
  <c r="AF12" i="3"/>
  <c r="A213" i="3"/>
  <c r="B213" i="3" s="1"/>
  <c r="AB14" i="3" s="1"/>
  <c r="A215" i="3"/>
  <c r="B215" i="3" s="1"/>
  <c r="AA15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17" i="3" s="1"/>
  <c r="A210" i="3"/>
  <c r="B210" i="3" s="1"/>
  <c r="A212" i="3"/>
  <c r="B212" i="3" s="1"/>
  <c r="A214" i="3"/>
  <c r="B214" i="3" s="1"/>
  <c r="A216" i="3"/>
  <c r="B216" i="3" s="1"/>
  <c r="A220" i="3"/>
  <c r="B220" i="3" s="1"/>
  <c r="AA22" i="3" s="1"/>
  <c r="A222" i="3"/>
  <c r="B222" i="3" s="1"/>
  <c r="A225" i="3"/>
  <c r="B225" i="3" s="1"/>
  <c r="AC13" i="3" s="1"/>
  <c r="AE248" i="3" l="1"/>
  <c r="AD256" i="3"/>
  <c r="AF11" i="3"/>
  <c r="AD242" i="3"/>
  <c r="AF19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5" i="3"/>
  <c r="AF18" i="3"/>
  <c r="AD241" i="3"/>
  <c r="AE242" i="3"/>
  <c r="AD244" i="3"/>
  <c r="AF3" i="3"/>
  <c r="AF22" i="3"/>
  <c r="AF17" i="3"/>
  <c r="AF8" i="3"/>
  <c r="AE250" i="3"/>
  <c r="AF16" i="3"/>
  <c r="AC12" i="3"/>
  <c r="AA9" i="3"/>
  <c r="AD249" i="3"/>
  <c r="AA16" i="3"/>
  <c r="AE243" i="3"/>
  <c r="AF10" i="3"/>
  <c r="AF254" i="3" s="1"/>
  <c r="AB7" i="3"/>
  <c r="Y7" i="3" s="1"/>
  <c r="AB16" i="3"/>
  <c r="AF9" i="3"/>
  <c r="AA17" i="3"/>
  <c r="AF14" i="3"/>
  <c r="AE251" i="3"/>
  <c r="AD240" i="3"/>
  <c r="AE257" i="3"/>
  <c r="AE253" i="3"/>
  <c r="AE240" i="3"/>
  <c r="AF7" i="3"/>
  <c r="AE245" i="3"/>
  <c r="AF6" i="3"/>
  <c r="AE258" i="3"/>
  <c r="AE244" i="3"/>
  <c r="AE256" i="3"/>
  <c r="AB9" i="3"/>
  <c r="AA8" i="3"/>
  <c r="AB22" i="3"/>
  <c r="AA12" i="3"/>
  <c r="AB8" i="3"/>
  <c r="AA13" i="3"/>
  <c r="AC14" i="3"/>
  <c r="AA21" i="3"/>
  <c r="AC5" i="3"/>
  <c r="AC9" i="3"/>
  <c r="AB12" i="3"/>
  <c r="AC8" i="3"/>
  <c r="AB13" i="3"/>
  <c r="Y6" i="3"/>
  <c r="Z6" i="3"/>
  <c r="AB15" i="3"/>
  <c r="AA5" i="3"/>
  <c r="AD246" i="3"/>
  <c r="AF13" i="3"/>
  <c r="AB11" i="3"/>
  <c r="AA11" i="3"/>
  <c r="AC11" i="3"/>
  <c r="AC256" i="3" s="1"/>
  <c r="AC22" i="3"/>
  <c r="AA18" i="3"/>
  <c r="AC18" i="3"/>
  <c r="AB18" i="3"/>
  <c r="Z4" i="3"/>
  <c r="Y4" i="3"/>
  <c r="Z20" i="3"/>
  <c r="Y20" i="3"/>
  <c r="AA14" i="3"/>
  <c r="AC15" i="3"/>
  <c r="AB21" i="3"/>
  <c r="AC3" i="3"/>
  <c r="AB3" i="3"/>
  <c r="AA3" i="3"/>
  <c r="AC10" i="3"/>
  <c r="AC253" i="3" s="1"/>
  <c r="AB10" i="3"/>
  <c r="AA10" i="3"/>
  <c r="AC19" i="3"/>
  <c r="AB19" i="3"/>
  <c r="AA19" i="3"/>
  <c r="AA254" i="3" l="1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7" i="3"/>
  <c r="AG7" i="3" s="1"/>
  <c r="AF252" i="3"/>
  <c r="AF242" i="3"/>
  <c r="AF244" i="3"/>
  <c r="Y16" i="3"/>
  <c r="AB251" i="3"/>
  <c r="AA249" i="3"/>
  <c r="AC247" i="3"/>
  <c r="AB247" i="3"/>
  <c r="AC252" i="3"/>
  <c r="AB239" i="3"/>
  <c r="AB248" i="3"/>
  <c r="AA248" i="3"/>
  <c r="AA250" i="3"/>
  <c r="AA243" i="3"/>
  <c r="AC242" i="3"/>
  <c r="Z16" i="3"/>
  <c r="AG16" i="3" s="1"/>
  <c r="AA240" i="3"/>
  <c r="AF243" i="3"/>
  <c r="AF241" i="3"/>
  <c r="AB242" i="3"/>
  <c r="AF257" i="3"/>
  <c r="AC239" i="3"/>
  <c r="AC251" i="3"/>
  <c r="Z17" i="3"/>
  <c r="AG17" i="3" s="1"/>
  <c r="AF245" i="3"/>
  <c r="Y17" i="3"/>
  <c r="AB250" i="3"/>
  <c r="AB240" i="3"/>
  <c r="AC245" i="3"/>
  <c r="AC250" i="3"/>
  <c r="AB246" i="3"/>
  <c r="AF256" i="3"/>
  <c r="AB254" i="3"/>
  <c r="AC246" i="3"/>
  <c r="AB256" i="3"/>
  <c r="Y9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3" i="3"/>
  <c r="Y3" i="3"/>
  <c r="Y15" i="3"/>
  <c r="Z9" i="3"/>
  <c r="AA244" i="3"/>
  <c r="Z14" i="3"/>
  <c r="Y14" i="3"/>
  <c r="AA242" i="3"/>
  <c r="Z11" i="3"/>
  <c r="Y11" i="3"/>
  <c r="AA247" i="3"/>
  <c r="Z5" i="3"/>
  <c r="Y5" i="3"/>
  <c r="AA246" i="3"/>
  <c r="Z13" i="3"/>
  <c r="Y13" i="3"/>
  <c r="Z15" i="3"/>
  <c r="Y22" i="3"/>
  <c r="AA257" i="3"/>
  <c r="Y10" i="3"/>
  <c r="Z10" i="3"/>
  <c r="AG4" i="3"/>
  <c r="AA251" i="3"/>
  <c r="Z18" i="3"/>
  <c r="Y18" i="3"/>
  <c r="AA241" i="3"/>
  <c r="Y12" i="3"/>
  <c r="Z12" i="3"/>
  <c r="Y8" i="3"/>
  <c r="Z22" i="3"/>
  <c r="AA245" i="3"/>
  <c r="Y19" i="3"/>
  <c r="Z19" i="3"/>
  <c r="AG20" i="3"/>
  <c r="AG6" i="3"/>
  <c r="AA239" i="3"/>
  <c r="Z21" i="3"/>
  <c r="Y21" i="3"/>
  <c r="Z8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2" i="3"/>
  <c r="Z251" i="3"/>
  <c r="AG18" i="3"/>
  <c r="Z257" i="3"/>
  <c r="AG10" i="3"/>
  <c r="Z255" i="3"/>
  <c r="AG15" i="3"/>
  <c r="Z242" i="3"/>
  <c r="AG11" i="3"/>
  <c r="Z258" i="3"/>
  <c r="AG3" i="3"/>
  <c r="Z245" i="3"/>
  <c r="AG19" i="3"/>
  <c r="Z247" i="3"/>
  <c r="AG5" i="3"/>
  <c r="Z250" i="3"/>
  <c r="AG9" i="3"/>
  <c r="Z241" i="3"/>
  <c r="AG12" i="3"/>
  <c r="Z246" i="3"/>
  <c r="AG13" i="3"/>
  <c r="Z240" i="3"/>
  <c r="AG8" i="3"/>
  <c r="Z239" i="3"/>
  <c r="AG21" i="3"/>
  <c r="AG239" i="3" s="1"/>
  <c r="Z244" i="3"/>
  <c r="AG14" i="3"/>
  <c r="AG255" i="3" l="1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<sst xmlns="http://schemas.openxmlformats.org/spreadsheetml/2006/main" count="1157" uniqueCount="101">
  <si>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</si>
  <si>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</si>
  <si>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</si>
  <si>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</si>
  <si>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</si>
  <si>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</si>
  <si>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</si>
  <si>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</si>
  <si>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</si>
  <si>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</si>
  <si>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</si>
  <si>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</si>
  <si>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</si>
  <si>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</si>
  <si>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</si>
  <si>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</si>
  <si>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</si>
  <si>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</si>
  <si>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</si>
  <si>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</si>
  <si>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</si>
  <si>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</si>
  <si>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</si>
  <si>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</si>
  <si>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</si>
  <si>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</si>
  <si>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</si>
  <si>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</si>
  <si>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</si>
  <si>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</si>
  <si>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</si>
  <si>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</si>
  <si>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</si>
  <si>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</si>
  <si>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</si>
  <si>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</si>
  <si>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</si>
  <si>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</si>
  <si>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</si>
  <si>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</si>
  <si>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</si>
  <si>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</si>
  <si>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</si>
  <si>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</si>
  <si>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</si>
  <si>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</si>
  <si>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</si>
  <si>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</si>
  <si>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</si>
  <si>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</si>
  <si>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</si>
  <si>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</si>
  <si>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</si>
  <si>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</si>
  <si>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</si>
  <si>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</si>
  <si>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</si>
  <si>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</si>
  <si>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</si>
  <si>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</si>
  <si>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</si>
  <si>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</si>
  <si>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</si>
  <si>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</si>
  <si>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</si>
  <si>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</si>
  <si>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</si>
  <si>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</si>
  <si>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</si>
  <si>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</si>
  <si>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</si>
  <si>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McDonald's DCR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</si>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</sst>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4" fillId="3" borderId="6" xfId="0" quotePrefix="1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11105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23" zoomScale="75" zoomScaleNormal="75" workbookViewId="0">
      <selection activeCell="AN232" sqref="AN232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5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93</v>
      </c>
      <c r="Y3" s="78">
        <f>SUM((AA3*3)+AB3)</f>
        <v>10</v>
      </c>
      <c r="Z3" s="78">
        <f>SUM(AA3+AB3+AC3)</f>
        <v>4</v>
      </c>
      <c r="AA3" s="38">
        <f>COUNTIFS($G$3:$G$228,X3,$B$3:$B$228,"V")+COUNTIFS($K$3:$K$228,X3,$P$3:$P$228,"V")</f>
        <v>3</v>
      </c>
      <c r="AB3" s="38">
        <f>COUNTIFS($G$3:$G$228,X3,$B$3:$B$228,"E",$H$3:$H$228,"&lt;&gt;"&amp;"")+COUNTIFS($K$3:$K$228,X3,$P$3:$P$228,"E",$J$3:$J$228,"&lt;&gt;"&amp;"")</f>
        <v>1</v>
      </c>
      <c r="AC3" s="38">
        <f>COUNTIFS($G$3:$G$228,X3,$B$3:$B$228,"D")+COUNTIFS($K$3:$K$228,X3,$P$3:$P$228,"D")</f>
        <v>0</v>
      </c>
      <c r="AD3" s="38">
        <f>SUMIFS($C$3:$C$228,$G$3:$G$228,X3)+SUMIFS($O$3:$O$228,$K$3:$K$228,X3)</f>
        <v>318.95999999999998</v>
      </c>
      <c r="AE3" s="38">
        <f>SUMIFS($D$3:$D$228,$G$3:$G$228,X3)+SUMIFS($N$3:$N$228,$K$3:$K$228,X3)</f>
        <v>214.31</v>
      </c>
      <c r="AF3" s="78">
        <f>SUM(AD3-AE3)</f>
        <v>104.64999999999998</v>
      </c>
      <c r="AG3" s="20">
        <f>SUM(AD3/Z3)</f>
        <v>79.739999999999995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5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92</v>
      </c>
      <c r="Y4" s="61">
        <f>SUM((AA4*3)+AB4)</f>
        <v>10</v>
      </c>
      <c r="Z4" s="61">
        <f>SUM(AA4+AB4+AC4)</f>
        <v>4</v>
      </c>
      <c r="AA4" s="61">
        <f>COUNTIFS($G$3:$G$228,X4,$B$3:$B$228,"V")+COUNTIFS($K$3:$K$228,X4,$P$3:$P$228,"V")</f>
        <v>3</v>
      </c>
      <c r="AB4" s="61">
        <f>COUNTIFS($G$3:$G$228,X4,$B$3:$B$228,"E",$H$3:$H$228,"&lt;&gt;"&amp;"")+COUNTIFS($K$3:$K$228,X4,$P$3:$P$228,"E",$J$3:$J$228,"&lt;&gt;"&amp;"")</f>
        <v>1</v>
      </c>
      <c r="AC4" s="61">
        <f>COUNTIFS($G$3:$G$228,X4,$B$3:$B$228,"D")+COUNTIFS($K$3:$K$228,X4,$P$3:$P$228,"D")</f>
        <v>0</v>
      </c>
      <c r="AD4" s="61">
        <f>SUMIFS($C$3:$C$228,$G$3:$G$228,X4)+SUMIFS($O$3:$O$228,$K$3:$K$228,X4)</f>
        <v>385.17999999999995</v>
      </c>
      <c r="AE4" s="61">
        <f>SUMIFS($D$3:$D$228,$G$3:$G$228,X4)+SUMIFS($N$3:$N$228,$K$3:$K$228,X4)</f>
        <v>320.02999999999997</v>
      </c>
      <c r="AF4" s="61">
        <f>SUM(AD4-AE4)</f>
        <v>65.149999999999977</v>
      </c>
      <c r="AG4" s="21">
        <f>SUM(AD4/Z4)</f>
        <v>96.294999999999987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5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9</v>
      </c>
      <c r="Z5" s="60">
        <f>SUM(AA5+AB5+AC5)</f>
        <v>4</v>
      </c>
      <c r="AA5" s="61">
        <f>COUNTIFS($G$3:$G$228,X5,$B$3:$B$228,"V")+COUNTIFS($K$3:$K$228,X5,$P$3:$P$228,"V")</f>
        <v>3</v>
      </c>
      <c r="AB5" s="61">
        <f>COUNTIFS($G$3:$G$228,X5,$B$3:$B$228,"E",$H$3:$H$228,"&lt;&gt;"&amp;"")+COUNTIFS($K$3:$K$228,X5,$P$3:$P$228,"E",$J$3:$J$228,"&lt;&gt;"&amp;"")</f>
        <v>0</v>
      </c>
      <c r="AC5" s="61">
        <f>COUNTIFS($G$3:$G$228,X5,$B$3:$B$228,"D")+COUNTIFS($K$3:$K$228,X5,$P$3:$P$228,"D")</f>
        <v>1</v>
      </c>
      <c r="AD5" s="61">
        <f>SUMIFS($C$3:$C$228,$G$3:$G$228,X5)+SUMIFS($O$3:$O$228,$K$3:$K$228,X5)</f>
        <v>356.84000000000003</v>
      </c>
      <c r="AE5" s="61">
        <f>SUMIFS($D$3:$D$228,$G$3:$G$228,X5)+SUMIFS($N$3:$N$228,$K$3:$K$228,X5)</f>
        <v>270.13</v>
      </c>
      <c r="AF5" s="79">
        <f>SUM(AD5-AE5)</f>
        <v>86.710000000000036</v>
      </c>
      <c r="AG5" s="21">
        <f>SUM(AD5/Z5)</f>
        <v>89.210000000000008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5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68</v>
      </c>
      <c r="Y6" s="39">
        <f>SUM((AA6*3)+AB6)</f>
        <v>9</v>
      </c>
      <c r="Z6" s="39">
        <f>SUM(AA6+AB6+AC6)</f>
        <v>4</v>
      </c>
      <c r="AA6" s="40">
        <f>COUNTIFS($G$3:$G$228,X6,$B$3:$B$228,"V")+COUNTIFS($K$3:$K$228,X6,$P$3:$P$228,"V")</f>
        <v>3</v>
      </c>
      <c r="AB6" s="40">
        <f>COUNTIFS($G$3:$G$228,X6,$B$3:$B$228,"E",$H$3:$H$228,"&lt;&gt;"&amp;"")+COUNTIFS($K$3:$K$228,X6,$P$3:$P$228,"E",$J$3:$J$228,"&lt;&gt;"&amp;"")</f>
        <v>0</v>
      </c>
      <c r="AC6" s="40">
        <f>COUNTIFS($G$3:$G$228,X6,$B$3:$B$228,"D")+COUNTIFS($K$3:$K$228,X6,$P$3:$P$228,"D")</f>
        <v>1</v>
      </c>
      <c r="AD6" s="40">
        <f>SUMIFS($C$3:$C$228,$G$3:$G$228,X6)+SUMIFS($O$3:$O$228,$K$3:$K$228,X6)</f>
        <v>378.28</v>
      </c>
      <c r="AE6" s="40">
        <f>SUMIFS($D$3:$D$228,$G$3:$G$228,X6)+SUMIFS($N$3:$N$228,$K$3:$K$228,X6)</f>
        <v>325.58999999999997</v>
      </c>
      <c r="AF6" s="39">
        <f>SUM(AD6-AE6)</f>
        <v>52.69</v>
      </c>
      <c r="AG6" s="21">
        <f>SUM(AD6/Z6)</f>
        <v>94.57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5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95</v>
      </c>
      <c r="Y7" s="39">
        <f>SUM((AA7*3)+AB7)</f>
        <v>8</v>
      </c>
      <c r="Z7" s="39">
        <f>SUM(AA7+AB7+AC7)</f>
        <v>4</v>
      </c>
      <c r="AA7" s="40">
        <f>COUNTIFS($G$3:$G$228,X7,$B$3:$B$228,"V")+COUNTIFS($K$3:$K$228,X7,$P$3:$P$228,"V")</f>
        <v>2</v>
      </c>
      <c r="AB7" s="40">
        <f>COUNTIFS($G$3:$G$228,X7,$B$3:$B$228,"E",$H$3:$H$228,"&lt;&gt;"&amp;"")+COUNTIFS($K$3:$K$228,X7,$P$3:$P$228,"E",$J$3:$J$228,"&lt;&gt;"&amp;"")</f>
        <v>2</v>
      </c>
      <c r="AC7" s="40">
        <f>COUNTIFS($G$3:$G$228,X7,$B$3:$B$228,"D")+COUNTIFS($K$3:$K$228,X7,$P$3:$P$228,"D")</f>
        <v>0</v>
      </c>
      <c r="AD7" s="40">
        <f>SUMIFS($C$3:$C$228,$G$3:$G$228,X7)+SUMIFS($O$3:$O$228,$K$3:$K$228,X7)</f>
        <v>331.91999999999996</v>
      </c>
      <c r="AE7" s="40">
        <f>SUMIFS($D$3:$D$228,$G$3:$G$228,X7)+SUMIFS($N$3:$N$228,$K$3:$K$228,X7)</f>
        <v>247.64</v>
      </c>
      <c r="AF7" s="60">
        <f>SUM(AD7-AE7)</f>
        <v>84.279999999999973</v>
      </c>
      <c r="AG7" s="21">
        <f>SUM(AD7/Z7)</f>
        <v>82.97999999999999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5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81</v>
      </c>
      <c r="Y8" s="61">
        <f>SUM((AA8*3)+AB8)</f>
        <v>7</v>
      </c>
      <c r="Z8" s="61">
        <f>SUM(AA8+AB8+AC8)</f>
        <v>4</v>
      </c>
      <c r="AA8" s="61">
        <f>COUNTIFS($G$3:$G$228,X8,$B$3:$B$228,"V")+COUNTIFS($K$3:$K$228,X8,$P$3:$P$228,"V")</f>
        <v>2</v>
      </c>
      <c r="AB8" s="61">
        <f>COUNTIFS($G$3:$G$228,X8,$B$3:$B$228,"E",$H$3:$H$228,"&lt;&gt;"&amp;"")+COUNTIFS($K$3:$K$228,X8,$P$3:$P$228,"E",$J$3:$J$228,"&lt;&gt;"&amp;"")</f>
        <v>1</v>
      </c>
      <c r="AC8" s="61">
        <f>COUNTIFS($G$3:$G$228,X8,$B$3:$B$228,"D")+COUNTIFS($K$3:$K$228,X8,$P$3:$P$228,"D")</f>
        <v>1</v>
      </c>
      <c r="AD8" s="61">
        <f>SUMIFS($C$3:$C$228,$G$3:$G$228,X8)+SUMIFS($O$3:$O$228,$K$3:$K$228,X8)</f>
        <v>244.20999999999998</v>
      </c>
      <c r="AE8" s="61">
        <f>SUMIFS($D$3:$D$228,$G$3:$G$228,X8)+SUMIFS($N$3:$N$228,$K$3:$K$228,X8)</f>
        <v>191.63</v>
      </c>
      <c r="AF8" s="61">
        <f>SUM(AD8-AE8)</f>
        <v>52.579999999999984</v>
      </c>
      <c r="AG8" s="21">
        <f>SUM(AD8/Z8)</f>
        <v>61.052499999999995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6">
        <v>121.66</v>
      </c>
      <c r="I9" s="2" t="s">
        <v>52</v>
      </c>
      <c r="J9" s="76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77</v>
      </c>
      <c r="Y9" s="39">
        <f>SUM((AA9*3)+AB9)</f>
        <v>7</v>
      </c>
      <c r="Z9" s="39">
        <f>SUM(AA9+AB9+AC9)</f>
        <v>4</v>
      </c>
      <c r="AA9" s="40">
        <f>COUNTIFS($G$3:$G$228,X9,$B$3:$B$228,"V")+COUNTIFS($K$3:$K$228,X9,$P$3:$P$228,"V")</f>
        <v>2</v>
      </c>
      <c r="AB9" s="40">
        <f>COUNTIFS($G$3:$G$228,X9,$B$3:$B$228,"E",$H$3:$H$228,"&lt;&gt;"&amp;"")+COUNTIFS($K$3:$K$228,X9,$P$3:$P$228,"E",$J$3:$J$228,"&lt;&gt;"&amp;"")</f>
        <v>1</v>
      </c>
      <c r="AC9" s="40">
        <f>COUNTIFS($G$3:$G$228,X9,$B$3:$B$228,"D")+COUNTIFS($K$3:$K$228,X9,$P$3:$P$228,"D")</f>
        <v>1</v>
      </c>
      <c r="AD9" s="40">
        <f>SUMIFS($C$3:$C$228,$G$3:$G$228,X9)+SUMIFS($O$3:$O$228,$K$3:$K$228,X9)</f>
        <v>324.62</v>
      </c>
      <c r="AE9" s="40">
        <f>SUMIFS($D$3:$D$228,$G$3:$G$228,X9)+SUMIFS($N$3:$N$228,$K$3:$K$228,X9)</f>
        <v>276.15999999999997</v>
      </c>
      <c r="AF9" s="39">
        <f>SUM(AD9-AE9)</f>
        <v>48.460000000000036</v>
      </c>
      <c r="AG9" s="21">
        <f>SUM(AD9/Z9)</f>
        <v>81.155000000000001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5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90</v>
      </c>
      <c r="Y10" s="39">
        <f>SUM((AA10*3)+AB10)</f>
        <v>7</v>
      </c>
      <c r="Z10" s="39">
        <f>SUM(AA10+AB10+AC10)</f>
        <v>4</v>
      </c>
      <c r="AA10" s="40">
        <f>COUNTIFS($G$3:$G$228,X10,$B$3:$B$228,"V")+COUNTIFS($K$3:$K$228,X10,$P$3:$P$228,"V")</f>
        <v>2</v>
      </c>
      <c r="AB10" s="40">
        <f>COUNTIFS($G$3:$G$228,X10,$B$3:$B$228,"E",$H$3:$H$228,"&lt;&gt;"&amp;"")+COUNTIFS($K$3:$K$228,X10,$P$3:$P$228,"E",$J$3:$J$228,"&lt;&gt;"&amp;"")</f>
        <v>1</v>
      </c>
      <c r="AC10" s="40">
        <f>COUNTIFS($G$3:$G$228,X10,$B$3:$B$228,"D")+COUNTIFS($K$3:$K$228,X10,$P$3:$P$228,"D")</f>
        <v>1</v>
      </c>
      <c r="AD10" s="40">
        <f>SUMIFS($C$3:$C$228,$G$3:$G$228,X10)+SUMIFS($O$3:$O$228,$K$3:$K$228,X10)</f>
        <v>280.48</v>
      </c>
      <c r="AE10" s="40">
        <f>SUMIFS($D$3:$D$228,$G$3:$G$228,X10)+SUMIFS($N$3:$N$228,$K$3:$K$228,X10)</f>
        <v>235.17</v>
      </c>
      <c r="AF10" s="39">
        <f>SUM(AD10-AE10)</f>
        <v>45.310000000000031</v>
      </c>
      <c r="AG10" s="21">
        <f>SUM(AD10/Z10)</f>
        <v>70.12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5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86</v>
      </c>
      <c r="Y11" s="60">
        <f>SUM((AA11*3)+AB11)</f>
        <v>7</v>
      </c>
      <c r="Z11" s="60">
        <f>SUM(AA11+AB11+AC11)</f>
        <v>4</v>
      </c>
      <c r="AA11" s="61">
        <f>COUNTIFS($G$3:$G$228,X11,$B$3:$B$228,"V")+COUNTIFS($K$3:$K$228,X11,$P$3:$P$228,"V")</f>
        <v>2</v>
      </c>
      <c r="AB11" s="61">
        <f>COUNTIFS($G$3:$G$228,X11,$B$3:$B$228,"E",$H$3:$H$228,"&lt;&gt;"&amp;"")+COUNTIFS($K$3:$K$228,X11,$P$3:$P$228,"E",$J$3:$J$228,"&lt;&gt;"&amp;"")</f>
        <v>1</v>
      </c>
      <c r="AC11" s="61">
        <f>COUNTIFS($G$3:$G$228,X11,$B$3:$B$228,"D")+COUNTIFS($K$3:$K$228,X11,$P$3:$P$228,"D")</f>
        <v>1</v>
      </c>
      <c r="AD11" s="61">
        <f>SUMIFS($C$3:$C$228,$G$3:$G$228,X11)+SUMIFS($O$3:$O$228,$K$3:$K$228,X11)</f>
        <v>326.95999999999998</v>
      </c>
      <c r="AE11" s="61">
        <f>SUMIFS($D$3:$D$228,$G$3:$G$228,X11)+SUMIFS($N$3:$N$228,$K$3:$K$228,X11)</f>
        <v>337.68</v>
      </c>
      <c r="AF11" s="60">
        <f>SUM(AD11-AE11)</f>
        <v>-10.720000000000027</v>
      </c>
      <c r="AG11" s="21">
        <f>SUM(AD11/Z11)</f>
        <v>81.739999999999995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6">
        <v>88.51</v>
      </c>
      <c r="I12" s="2" t="s">
        <v>52</v>
      </c>
      <c r="J12" s="76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84</v>
      </c>
      <c r="Y12" s="60">
        <f>SUM((AA12*3)+AB12)</f>
        <v>6</v>
      </c>
      <c r="Z12" s="60">
        <f>SUM(AA12+AB12+AC12)</f>
        <v>4</v>
      </c>
      <c r="AA12" s="61">
        <f>COUNTIFS($G$3:$G$228,X12,$B$3:$B$228,"V")+COUNTIFS($K$3:$K$228,X12,$P$3:$P$228,"V")</f>
        <v>2</v>
      </c>
      <c r="AB12" s="61">
        <f>COUNTIFS($G$3:$G$228,X12,$B$3:$B$228,"E",$H$3:$H$228,"&lt;&gt;"&amp;"")+COUNTIFS($K$3:$K$228,X12,$P$3:$P$228,"E",$J$3:$J$228,"&lt;&gt;"&amp;"")</f>
        <v>0</v>
      </c>
      <c r="AC12" s="61">
        <f>COUNTIFS($G$3:$G$228,X12,$B$3:$B$228,"D")+COUNTIFS($K$3:$K$228,X12,$P$3:$P$228,"D")</f>
        <v>2</v>
      </c>
      <c r="AD12" s="61">
        <f>SUMIFS($C$3:$C$228,$G$3:$G$228,X12)+SUMIFS($O$3:$O$228,$K$3:$K$228,X12)</f>
        <v>235.39</v>
      </c>
      <c r="AE12" s="61">
        <f>SUMIFS($D$3:$D$228,$G$3:$G$228,X12)+SUMIFS($N$3:$N$228,$K$3:$K$228,X12)</f>
        <v>238.32</v>
      </c>
      <c r="AF12" s="60">
        <f>SUM(AD12-AE12)</f>
        <v>-2.9300000000000068</v>
      </c>
      <c r="AG12" s="21">
        <f>SUM(AD12/Z12)</f>
        <v>58.847499999999997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62</v>
      </c>
      <c r="Y13" s="40">
        <f>SUM((AA13*3)+AB13)</f>
        <v>6</v>
      </c>
      <c r="Z13" s="40">
        <f>SUM(AA13+AB13+AC13)</f>
        <v>4</v>
      </c>
      <c r="AA13" s="40">
        <f>COUNTIFS($G$3:$G$228,X13,$B$3:$B$228,"V")+COUNTIFS($K$3:$K$228,X13,$P$3:$P$228,"V")</f>
        <v>1</v>
      </c>
      <c r="AB13" s="40">
        <f>COUNTIFS($G$3:$G$228,X13,$B$3:$B$228,"E",$H$3:$H$228,"&lt;&gt;"&amp;"")+COUNTIFS($K$3:$K$228,X13,$P$3:$P$228,"E",$J$3:$J$228,"&lt;&gt;"&amp;"")</f>
        <v>3</v>
      </c>
      <c r="AC13" s="40">
        <f>COUNTIFS($G$3:$G$228,X13,$B$3:$B$228,"D")+COUNTIFS($K$3:$K$228,X13,$P$3:$P$228,"D")</f>
        <v>0</v>
      </c>
      <c r="AD13" s="40">
        <f>SUMIFS($C$3:$C$228,$G$3:$G$228,X13)+SUMIFS($O$3:$O$228,$K$3:$K$228,X13)</f>
        <v>356.97</v>
      </c>
      <c r="AE13" s="40">
        <f>SUMIFS($D$3:$D$228,$G$3:$G$228,X13)+SUMIFS($N$3:$N$228,$K$3:$K$228,X13)</f>
        <v>279.64</v>
      </c>
      <c r="AF13" s="40">
        <f>SUM(AD13-AE13)</f>
        <v>77.330000000000041</v>
      </c>
      <c r="AG13" s="21">
        <f>SUM(AD13/Z13)</f>
        <v>89.242500000000007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71</v>
      </c>
      <c r="Y14" s="39">
        <f>SUM((AA14*3)+AB14)</f>
        <v>5</v>
      </c>
      <c r="Z14" s="39">
        <f>SUM(AA14+AB14+AC14)</f>
        <v>4</v>
      </c>
      <c r="AA14" s="40">
        <f>COUNTIFS($G$3:$G$228,X14,$B$3:$B$228,"V")+COUNTIFS($K$3:$K$228,X14,$P$3:$P$228,"V")</f>
        <v>1</v>
      </c>
      <c r="AB14" s="40">
        <f>COUNTIFS($G$3:$G$228,X14,$B$3:$B$228,"E",$H$3:$H$228,"&lt;&gt;"&amp;"")+COUNTIFS($K$3:$K$228,X14,$P$3:$P$228,"E",$J$3:$J$228,"&lt;&gt;"&amp;"")</f>
        <v>2</v>
      </c>
      <c r="AC14" s="40">
        <f>COUNTIFS($G$3:$G$228,X14,$B$3:$B$228,"D")+COUNTIFS($K$3:$K$228,X14,$P$3:$P$228,"D")</f>
        <v>1</v>
      </c>
      <c r="AD14" s="40">
        <f>SUMIFS($C$3:$C$228,$G$3:$G$228,X14)+SUMIFS($O$3:$O$228,$K$3:$K$228,X14)</f>
        <v>309.05</v>
      </c>
      <c r="AE14" s="40">
        <f>SUMIFS($D$3:$D$228,$G$3:$G$228,X14)+SUMIFS($N$3:$N$228,$K$3:$K$228,X14)</f>
        <v>307.43999999999994</v>
      </c>
      <c r="AF14" s="39">
        <f>SUM(AD14-AE14)</f>
        <v>1.6100000000000705</v>
      </c>
      <c r="AG14" s="21">
        <f>SUM(AD14/Z14)</f>
        <v>77.262500000000003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5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37" t="s">
        <v>88</v>
      </c>
      <c r="Y15" s="40">
        <f>SUM((AA15*3)+AB15)</f>
        <v>4</v>
      </c>
      <c r="Z15" s="40">
        <f>SUM(AA15+AB15+AC15)</f>
        <v>4</v>
      </c>
      <c r="AA15" s="40">
        <f>COUNTIFS($G$3:$G$228,X15,$B$3:$B$228,"V")+COUNTIFS($K$3:$K$228,X15,$P$3:$P$228,"V")</f>
        <v>1</v>
      </c>
      <c r="AB15" s="40">
        <f>COUNTIFS($G$3:$G$228,X15,$B$3:$B$228,"E",$H$3:$H$228,"&lt;&gt;"&amp;"")+COUNTIFS($K$3:$K$228,X15,$P$3:$P$228,"E",$J$3:$J$228,"&lt;&gt;"&amp;"")</f>
        <v>1</v>
      </c>
      <c r="AC15" s="40">
        <f>COUNTIFS($G$3:$G$228,X15,$B$3:$B$228,"D")+COUNTIFS($K$3:$K$228,X15,$P$3:$P$228,"D")</f>
        <v>2</v>
      </c>
      <c r="AD15" s="40">
        <f>SUMIFS($C$3:$C$228,$G$3:$G$228,X15)+SUMIFS($O$3:$O$228,$K$3:$K$228,X15)</f>
        <v>346.68</v>
      </c>
      <c r="AE15" s="40">
        <f>SUMIFS($D$3:$D$228,$G$3:$G$228,X15)+SUMIFS($N$3:$N$228,$K$3:$K$228,X15)</f>
        <v>345.86</v>
      </c>
      <c r="AF15" s="40">
        <f>SUM(AD15-AE15)</f>
        <v>0.81999999999999318</v>
      </c>
      <c r="AG15" s="21">
        <f>SUM(AD15/Z15)</f>
        <v>86.67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6">
        <v>83.58</v>
      </c>
      <c r="I16" s="2" t="s">
        <v>52</v>
      </c>
      <c r="J16" s="76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60</v>
      </c>
      <c r="Y16" s="60">
        <f>SUM((AA16*3)+AB16)</f>
        <v>4</v>
      </c>
      <c r="Z16" s="60">
        <f>SUM(AA16+AB16+AC16)</f>
        <v>4</v>
      </c>
      <c r="AA16" s="61">
        <f>COUNTIFS($G$3:$G$228,X16,$B$3:$B$228,"V")+COUNTIFS($K$3:$K$228,X16,$P$3:$P$228,"V")</f>
        <v>1</v>
      </c>
      <c r="AB16" s="61">
        <f>COUNTIFS($G$3:$G$228,X16,$B$3:$B$228,"E",$H$3:$H$228,"&lt;&gt;"&amp;"")+COUNTIFS($K$3:$K$228,X16,$P$3:$P$228,"E",$J$3:$J$228,"&lt;&gt;"&amp;"")</f>
        <v>1</v>
      </c>
      <c r="AC16" s="61">
        <f>COUNTIFS($G$3:$G$228,X16,$B$3:$B$228,"D")+COUNTIFS($K$3:$K$228,X16,$P$3:$P$228,"D")</f>
        <v>2</v>
      </c>
      <c r="AD16" s="61">
        <f>SUMIFS($C$3:$C$228,$G$3:$G$228,X16)+SUMIFS($O$3:$O$228,$K$3:$K$228,X16)</f>
        <v>293.05999999999995</v>
      </c>
      <c r="AE16" s="61">
        <f>SUMIFS($D$3:$D$228,$G$3:$G$228,X16)+SUMIFS($N$3:$N$228,$K$3:$K$228,X16)</f>
        <v>323.62</v>
      </c>
      <c r="AF16" s="60">
        <f>SUM(AD16-AE16)</f>
        <v>-30.560000000000059</v>
      </c>
      <c r="AG16" s="21">
        <f>SUM(AD16/Z16)</f>
        <v>73.264999999999986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6">
        <v>87.53</v>
      </c>
      <c r="I17" s="2" t="s">
        <v>52</v>
      </c>
      <c r="J17" s="76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99</v>
      </c>
      <c r="Y17" s="39">
        <f>SUM((AA17*3)+AB17)</f>
        <v>4</v>
      </c>
      <c r="Z17" s="39">
        <f>SUM(AA17+AB17+AC17)</f>
        <v>4</v>
      </c>
      <c r="AA17" s="40">
        <f>COUNTIFS($G$3:$G$228,X17,$B$3:$B$228,"V")+COUNTIFS($K$3:$K$228,X17,$P$3:$P$228,"V")</f>
        <v>1</v>
      </c>
      <c r="AB17" s="40">
        <f>COUNTIFS($G$3:$G$228,X17,$B$3:$B$228,"E",$H$3:$H$228,"&lt;&gt;"&amp;"")+COUNTIFS($K$3:$K$228,X17,$P$3:$P$228,"E",$J$3:$J$228,"&lt;&gt;"&amp;"")</f>
        <v>1</v>
      </c>
      <c r="AC17" s="40">
        <f>COUNTIFS($G$3:$G$228,X17,$B$3:$B$228,"D")+COUNTIFS($K$3:$K$228,X17,$P$3:$P$228,"D")</f>
        <v>2</v>
      </c>
      <c r="AD17" s="40">
        <f>SUMIFS($C$3:$C$228,$G$3:$G$228,X17)+SUMIFS($O$3:$O$228,$K$3:$K$228,X17)</f>
        <v>183.06</v>
      </c>
      <c r="AE17" s="40">
        <f>SUMIFS($D$3:$D$228,$G$3:$G$228,X17)+SUMIFS($N$3:$N$228,$K$3:$K$228,X17)</f>
        <v>319.24</v>
      </c>
      <c r="AF17" s="39">
        <f>SUM(AD17-AE17)</f>
        <v>-136.18</v>
      </c>
      <c r="AG17" s="21">
        <f>SUM(AD17/Z17)</f>
        <v>45.765000000000001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5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76</v>
      </c>
      <c r="Y18" s="39">
        <f>SUM((AA18*3)+AB18)</f>
        <v>3</v>
      </c>
      <c r="Z18" s="39">
        <f>SUM(AA18+AB18+AC18)</f>
        <v>4</v>
      </c>
      <c r="AA18" s="40">
        <f>COUNTIFS($G$3:$G$228,X18,$B$3:$B$228,"V")+COUNTIFS($K$3:$K$228,X18,$P$3:$P$228,"V")</f>
        <v>1</v>
      </c>
      <c r="AB18" s="40">
        <f>COUNTIFS($G$3:$G$228,X18,$B$3:$B$228,"E",$H$3:$H$228,"&lt;&gt;"&amp;"")+COUNTIFS($K$3:$K$228,X18,$P$3:$P$228,"E",$J$3:$J$228,"&lt;&gt;"&amp;"")</f>
        <v>0</v>
      </c>
      <c r="AC18" s="40">
        <f>COUNTIFS($G$3:$G$228,X18,$B$3:$B$228,"D")+COUNTIFS($K$3:$K$228,X18,$P$3:$P$228,"D")</f>
        <v>3</v>
      </c>
      <c r="AD18" s="40">
        <f>SUMIFS($C$3:$C$228,$G$3:$G$228,X18)+SUMIFS($O$3:$O$228,$K$3:$K$228,X18)</f>
        <v>284.83</v>
      </c>
      <c r="AE18" s="40">
        <f>SUMIFS($D$3:$D$228,$G$3:$G$228,X18)+SUMIFS($N$3:$N$228,$K$3:$K$228,X18)</f>
        <v>333.84000000000003</v>
      </c>
      <c r="AF18" s="39">
        <f>SUM(AD18-AE18)</f>
        <v>-49.010000000000048</v>
      </c>
      <c r="AG18" s="21">
        <f>SUM(AD18/Z18)</f>
        <v>71.207499999999996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5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74</v>
      </c>
      <c r="Y19" s="39">
        <f>SUM((AA19*3)+AB19)</f>
        <v>3</v>
      </c>
      <c r="Z19" s="39">
        <f>SUM(AA19+AB19+AC19)</f>
        <v>4</v>
      </c>
      <c r="AA19" s="40">
        <f>COUNTIFS($G$3:$G$228,X19,$B$3:$B$228,"V")+COUNTIFS($K$3:$K$228,X19,$P$3:$P$228,"V")</f>
        <v>1</v>
      </c>
      <c r="AB19" s="40">
        <f>COUNTIFS($G$3:$G$228,X19,$B$3:$B$228,"E",$H$3:$H$228,"&lt;&gt;"&amp;"")+COUNTIFS($K$3:$K$228,X19,$P$3:$P$228,"E",$J$3:$J$228,"&lt;&gt;"&amp;"")</f>
        <v>0</v>
      </c>
      <c r="AC19" s="40">
        <f>COUNTIFS($G$3:$G$228,X19,$B$3:$B$228,"D")+COUNTIFS($K$3:$K$228,X19,$P$3:$P$228,"D")</f>
        <v>3</v>
      </c>
      <c r="AD19" s="40">
        <f>SUMIFS($C$3:$C$228,$G$3:$G$228,X19)+SUMIFS($O$3:$O$228,$K$3:$K$228,X19)</f>
        <v>175.70999999999998</v>
      </c>
      <c r="AE19" s="40">
        <f>SUMIFS($D$3:$D$228,$G$3:$G$228,X19)+SUMIFS($N$3:$N$228,$K$3:$K$228,X19)</f>
        <v>265.08</v>
      </c>
      <c r="AF19" s="39">
        <f>SUM(AD19-AE19)</f>
        <v>-89.37</v>
      </c>
      <c r="AG19" s="21">
        <f>SUM(AD19/Z19)</f>
        <v>43.927499999999995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5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28" t="s">
        <v>97</v>
      </c>
      <c r="Y20" s="60">
        <f>SUM((AA20*3)+AB20)</f>
        <v>1</v>
      </c>
      <c r="Z20" s="60">
        <f>SUM(AA20+AB20+AC20)</f>
        <v>4</v>
      </c>
      <c r="AA20" s="61">
        <f>COUNTIFS($G$3:$G$228,X20,$B$3:$B$228,"V")+COUNTIFS($K$3:$K$228,X20,$P$3:$P$228,"V")</f>
        <v>0</v>
      </c>
      <c r="AB20" s="61">
        <f>COUNTIFS($G$3:$G$228,X20,$B$3:$B$228,"E",$H$3:$H$228,"&lt;&gt;"&amp;"")+COUNTIFS($K$3:$K$228,X20,$P$3:$P$228,"E",$J$3:$J$228,"&lt;&gt;"&amp;"")</f>
        <v>1</v>
      </c>
      <c r="AC20" s="61">
        <f>COUNTIFS($G$3:$G$228,X20,$B$3:$B$228,"D")+COUNTIFS($K$3:$K$228,X20,$P$3:$P$228,"D")</f>
        <v>3</v>
      </c>
      <c r="AD20" s="61">
        <f>SUMIFS($C$3:$C$228,$G$3:$G$228,X20)+SUMIFS($O$3:$O$228,$K$3:$K$228,X20)</f>
        <v>219.17000000000002</v>
      </c>
      <c r="AE20" s="61">
        <f>SUMIFS($D$3:$D$228,$G$3:$G$228,X20)+SUMIFS($N$3:$N$228,$K$3:$K$228,X20)</f>
        <v>287.15999999999997</v>
      </c>
      <c r="AF20" s="60">
        <f>SUM(AD20-AE20)</f>
        <v>-67.989999999999952</v>
      </c>
      <c r="AG20" s="21">
        <f>SUM(AD20/Z20)</f>
        <v>54.792500000000004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6">
        <v>55.55</v>
      </c>
      <c r="I21" s="2" t="s">
        <v>52</v>
      </c>
      <c r="J21" s="76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28" t="s">
        <v>79</v>
      </c>
      <c r="Y21" s="61">
        <f>SUM((AA21*3)+AB21)</f>
        <v>1</v>
      </c>
      <c r="Z21" s="61">
        <f>SUM(AA21+AB21+AC21)</f>
        <v>4</v>
      </c>
      <c r="AA21" s="61">
        <f>COUNTIFS($G$3:$G$228,X21,$B$3:$B$228,"V")+COUNTIFS($K$3:$K$228,X21,$P$3:$P$228,"V")</f>
        <v>0</v>
      </c>
      <c r="AB21" s="61">
        <f>COUNTIFS($G$3:$G$228,X21,$B$3:$B$228,"E",$H$3:$H$228,"&lt;&gt;"&amp;"")+COUNTIFS($K$3:$K$228,X21,$P$3:$P$228,"E",$J$3:$J$228,"&lt;&gt;"&amp;"")</f>
        <v>1</v>
      </c>
      <c r="AC21" s="61">
        <f>COUNTIFS($G$3:$G$228,X21,$B$3:$B$228,"D")+COUNTIFS($K$3:$K$228,X21,$P$3:$P$228,"D")</f>
        <v>3</v>
      </c>
      <c r="AD21" s="61">
        <f>SUMIFS($C$3:$C$228,$G$3:$G$228,X21)+SUMIFS($O$3:$O$228,$K$3:$K$228,X21)</f>
        <v>199.25</v>
      </c>
      <c r="AE21" s="61">
        <f>SUMIFS($D$3:$D$228,$G$3:$G$228,X21)+SUMIFS($N$3:$N$228,$K$3:$K$228,X21)</f>
        <v>282.8</v>
      </c>
      <c r="AF21" s="61">
        <f>SUM(AD21-AE21)</f>
        <v>-83.550000000000011</v>
      </c>
      <c r="AG21" s="21">
        <f>SUM(AD21/Z21)</f>
        <v>49.8125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5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7" t="s">
        <v>70</v>
      </c>
      <c r="Y22" s="74">
        <f>SUM((AA22*3)+AB22)</f>
        <v>0</v>
      </c>
      <c r="Z22" s="74">
        <f>SUM(AA22+AB22+AC22)</f>
        <v>4</v>
      </c>
      <c r="AA22" s="36">
        <f>COUNTIFS($G$3:$G$228,X22,$B$3:$B$228,"V")+COUNTIFS($K$3:$K$228,X22,$P$3:$P$228,"V")</f>
        <v>0</v>
      </c>
      <c r="AB22" s="36">
        <f>COUNTIFS($G$3:$G$228,X22,$B$3:$B$228,"E",$H$3:$H$228,"&lt;&gt;"&amp;"")+COUNTIFS($K$3:$K$228,X22,$P$3:$P$228,"E",$J$3:$J$228,"&lt;&gt;"&amp;"")</f>
        <v>0</v>
      </c>
      <c r="AC22" s="36">
        <f>COUNTIFS($G$3:$G$228,X22,$B$3:$B$228,"D")+COUNTIFS($K$3:$K$228,X22,$P$3:$P$228,"D")</f>
        <v>4</v>
      </c>
      <c r="AD22" s="36">
        <f>SUMIFS($C$3:$C$228,$G$3:$G$228,X22)+SUMIFS($O$3:$O$228,$K$3:$K$228,X22)</f>
        <v>185.53000000000003</v>
      </c>
      <c r="AE22" s="36">
        <f>SUMIFS($D$3:$D$228,$G$3:$G$228,X22)+SUMIFS($N$3:$N$228,$K$3:$K$228,X22)</f>
        <v>334.81</v>
      </c>
      <c r="AF22" s="74">
        <f>SUM(AD22-AE22)</f>
        <v>-149.27999999999997</v>
      </c>
      <c r="AG22" s="22">
        <f>SUM(AD22/Z22)</f>
        <v>46.382500000000007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5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5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6">
        <v>0</v>
      </c>
      <c r="I27" s="2" t="s">
        <v>52</v>
      </c>
      <c r="J27" s="76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5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5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5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5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5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6">
        <v>73.81</v>
      </c>
      <c r="I33" s="2" t="s">
        <v>52</v>
      </c>
      <c r="J33" s="76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5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5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6">
        <v>73.95</v>
      </c>
      <c r="I36" s="2" t="s">
        <v>52</v>
      </c>
      <c r="J36" s="76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6">
        <v>81.540000000000006</v>
      </c>
      <c r="I39" s="2" t="s">
        <v>52</v>
      </c>
      <c r="J39" s="76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5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5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5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5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5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5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5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5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5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0</v>
      </c>
      <c r="B51" s="5" t="str">
        <f t="shared" si="1"/>
        <v>E</v>
      </c>
      <c r="C51" s="5">
        <f t="shared" si="2"/>
        <v>0</v>
      </c>
      <c r="D51" s="5">
        <f t="shared" si="3"/>
        <v>0</v>
      </c>
      <c r="E51" s="4"/>
      <c r="F51" s="58" t="s">
        <v>87</v>
      </c>
      <c r="G51" s="2" t="s">
        <v>86</v>
      </c>
      <c r="H51" s="2"/>
      <c r="I51" s="2" t="s">
        <v>52</v>
      </c>
      <c r="J51" s="2"/>
      <c r="K51" s="71" t="s">
        <v>70</v>
      </c>
      <c r="L51" s="58" t="s">
        <v>69</v>
      </c>
      <c r="M51" s="4"/>
      <c r="N51" s="5">
        <f t="shared" si="4"/>
        <v>0</v>
      </c>
      <c r="O51" s="5">
        <f t="shared" si="5"/>
        <v>0</v>
      </c>
      <c r="P51" s="5" t="str">
        <f t="shared" si="6"/>
        <v>E</v>
      </c>
      <c r="Q51" s="5">
        <f t="shared" si="7"/>
        <v>0</v>
      </c>
      <c r="X51" s="41"/>
    </row>
    <row r="52" spans="1:24" ht="17.25" customHeight="1" x14ac:dyDescent="0.25">
      <c r="A52" s="5">
        <f t="shared" si="0"/>
        <v>0</v>
      </c>
      <c r="B52" s="5" t="str">
        <f t="shared" si="1"/>
        <v>E</v>
      </c>
      <c r="C52" s="5">
        <f t="shared" si="2"/>
        <v>0</v>
      </c>
      <c r="D52" s="5">
        <f t="shared" si="3"/>
        <v>0</v>
      </c>
      <c r="E52" s="4"/>
      <c r="F52" s="58" t="s">
        <v>100</v>
      </c>
      <c r="G52" s="2" t="s">
        <v>99</v>
      </c>
      <c r="H52" s="2"/>
      <c r="I52" s="2" t="s">
        <v>52</v>
      </c>
      <c r="J52" s="2"/>
      <c r="K52" s="2" t="s">
        <v>92</v>
      </c>
      <c r="L52" s="58" t="s">
        <v>66</v>
      </c>
      <c r="M52" s="4"/>
      <c r="N52" s="5">
        <f t="shared" si="4"/>
        <v>0</v>
      </c>
      <c r="O52" s="5">
        <f t="shared" si="5"/>
        <v>0</v>
      </c>
      <c r="P52" s="5" t="str">
        <f t="shared" si="6"/>
        <v>E</v>
      </c>
      <c r="Q52" s="5">
        <f t="shared" si="7"/>
        <v>0</v>
      </c>
      <c r="X52" s="41"/>
    </row>
    <row r="53" spans="1:24" ht="17.25" customHeight="1" x14ac:dyDescent="0.25">
      <c r="A53" s="5">
        <f t="shared" si="0"/>
        <v>0</v>
      </c>
      <c r="B53" s="5" t="str">
        <f t="shared" si="1"/>
        <v>E</v>
      </c>
      <c r="C53" s="5">
        <f t="shared" si="2"/>
        <v>0</v>
      </c>
      <c r="D53" s="5">
        <f t="shared" si="3"/>
        <v>0</v>
      </c>
      <c r="E53" s="4"/>
      <c r="F53" s="58" t="s">
        <v>65</v>
      </c>
      <c r="G53" s="2" t="s">
        <v>64</v>
      </c>
      <c r="H53" s="2"/>
      <c r="I53" s="2" t="s">
        <v>52</v>
      </c>
      <c r="J53" s="2"/>
      <c r="K53" s="2" t="s">
        <v>74</v>
      </c>
      <c r="L53" s="58" t="s">
        <v>73</v>
      </c>
      <c r="M53" s="4"/>
      <c r="N53" s="5">
        <f t="shared" si="4"/>
        <v>0</v>
      </c>
      <c r="O53" s="5">
        <f t="shared" si="5"/>
        <v>0</v>
      </c>
      <c r="P53" s="5" t="str">
        <f t="shared" si="6"/>
        <v>E</v>
      </c>
      <c r="Q53" s="5">
        <f t="shared" si="7"/>
        <v>0</v>
      </c>
      <c r="X53" s="42"/>
    </row>
    <row r="54" spans="1:24" ht="17.25" customHeight="1" x14ac:dyDescent="0.25">
      <c r="A54" s="5">
        <f t="shared" si="0"/>
        <v>0</v>
      </c>
      <c r="B54" s="5" t="str">
        <f t="shared" si="1"/>
        <v>E</v>
      </c>
      <c r="C54" s="5">
        <f t="shared" si="2"/>
        <v>0</v>
      </c>
      <c r="D54" s="5">
        <f t="shared" si="3"/>
        <v>0</v>
      </c>
      <c r="E54" s="4"/>
      <c r="F54" s="58" t="s">
        <v>91</v>
      </c>
      <c r="G54" s="2" t="s">
        <v>90</v>
      </c>
      <c r="H54" s="2"/>
      <c r="I54" s="2" t="s">
        <v>52</v>
      </c>
      <c r="J54" s="2"/>
      <c r="K54" s="2" t="s">
        <v>79</v>
      </c>
      <c r="L54" s="58" t="s">
        <v>80</v>
      </c>
      <c r="M54" s="4"/>
      <c r="N54" s="5">
        <f t="shared" si="4"/>
        <v>0</v>
      </c>
      <c r="O54" s="5">
        <f t="shared" si="5"/>
        <v>0</v>
      </c>
      <c r="P54" s="5" t="str">
        <f t="shared" si="6"/>
        <v>E</v>
      </c>
      <c r="Q54" s="5">
        <f t="shared" si="7"/>
        <v>0</v>
      </c>
      <c r="X54" s="41"/>
    </row>
    <row r="55" spans="1:24" ht="17.25" customHeight="1" x14ac:dyDescent="0.25">
      <c r="A55" s="5">
        <f t="shared" si="0"/>
        <v>0</v>
      </c>
      <c r="B55" s="5" t="str">
        <f t="shared" si="1"/>
        <v>E</v>
      </c>
      <c r="C55" s="5">
        <f t="shared" si="2"/>
        <v>0</v>
      </c>
      <c r="D55" s="5">
        <f t="shared" si="3"/>
        <v>0</v>
      </c>
      <c r="E55" s="4"/>
      <c r="F55" s="58" t="s">
        <v>75</v>
      </c>
      <c r="G55" s="2" t="s">
        <v>76</v>
      </c>
      <c r="H55" s="2"/>
      <c r="I55" s="2" t="s">
        <v>52</v>
      </c>
      <c r="J55" s="2"/>
      <c r="K55" s="2" t="s">
        <v>93</v>
      </c>
      <c r="L55" s="58" t="s">
        <v>94</v>
      </c>
      <c r="M55" s="4"/>
      <c r="N55" s="5">
        <f t="shared" si="4"/>
        <v>0</v>
      </c>
      <c r="O55" s="5">
        <f t="shared" si="5"/>
        <v>0</v>
      </c>
      <c r="P55" s="5" t="str">
        <f t="shared" si="6"/>
        <v>E</v>
      </c>
      <c r="Q55" s="5">
        <f t="shared" si="7"/>
        <v>0</v>
      </c>
      <c r="X55" s="42"/>
    </row>
    <row r="56" spans="1:24" ht="17.25" customHeight="1" x14ac:dyDescent="0.25">
      <c r="A56" s="5">
        <f t="shared" si="0"/>
        <v>0</v>
      </c>
      <c r="B56" s="5" t="str">
        <f t="shared" si="1"/>
        <v>E</v>
      </c>
      <c r="C56" s="5">
        <f t="shared" si="2"/>
        <v>0</v>
      </c>
      <c r="D56" s="5">
        <f t="shared" si="3"/>
        <v>0</v>
      </c>
      <c r="E56" s="4"/>
      <c r="F56" s="58" t="s">
        <v>82</v>
      </c>
      <c r="G56" s="2" t="s">
        <v>81</v>
      </c>
      <c r="H56" s="2"/>
      <c r="I56" s="2" t="s">
        <v>52</v>
      </c>
      <c r="J56" s="2"/>
      <c r="K56" s="2" t="s">
        <v>68</v>
      </c>
      <c r="L56" s="58" t="s">
        <v>83</v>
      </c>
      <c r="M56" s="4"/>
      <c r="N56" s="5">
        <f t="shared" si="4"/>
        <v>0</v>
      </c>
      <c r="O56" s="5">
        <f t="shared" si="5"/>
        <v>0</v>
      </c>
      <c r="P56" s="5" t="str">
        <f t="shared" si="6"/>
        <v>E</v>
      </c>
      <c r="Q56" s="5">
        <f t="shared" si="7"/>
        <v>0</v>
      </c>
      <c r="X56" s="41"/>
    </row>
    <row r="57" spans="1:24" ht="17.25" customHeight="1" x14ac:dyDescent="0.25">
      <c r="A57" s="5">
        <f t="shared" si="0"/>
        <v>0</v>
      </c>
      <c r="B57" s="5" t="str">
        <f t="shared" si="1"/>
        <v>E</v>
      </c>
      <c r="C57" s="5">
        <f t="shared" si="2"/>
        <v>0</v>
      </c>
      <c r="D57" s="5">
        <f t="shared" si="3"/>
        <v>0</v>
      </c>
      <c r="E57" s="4"/>
      <c r="F57" s="58" t="s">
        <v>63</v>
      </c>
      <c r="G57" s="2" t="s">
        <v>62</v>
      </c>
      <c r="H57" s="2"/>
      <c r="I57" s="2" t="s">
        <v>52</v>
      </c>
      <c r="J57" s="2"/>
      <c r="K57" s="2" t="s">
        <v>95</v>
      </c>
      <c r="L57" s="58" t="s">
        <v>96</v>
      </c>
      <c r="M57" s="4"/>
      <c r="N57" s="5">
        <f t="shared" si="4"/>
        <v>0</v>
      </c>
      <c r="O57" s="5">
        <f t="shared" si="5"/>
        <v>0</v>
      </c>
      <c r="P57" s="5" t="str">
        <f t="shared" si="6"/>
        <v>E</v>
      </c>
      <c r="Q57" s="5">
        <f t="shared" si="7"/>
        <v>0</v>
      </c>
      <c r="X57" s="41"/>
    </row>
    <row r="58" spans="1:24" ht="17.25" customHeight="1" x14ac:dyDescent="0.25">
      <c r="A58" s="5">
        <f t="shared" si="0"/>
        <v>0</v>
      </c>
      <c r="B58" s="5" t="str">
        <f t="shared" si="1"/>
        <v>E</v>
      </c>
      <c r="C58" s="5">
        <f t="shared" si="2"/>
        <v>0</v>
      </c>
      <c r="D58" s="5">
        <f t="shared" si="3"/>
        <v>0</v>
      </c>
      <c r="E58" s="4"/>
      <c r="F58" s="58" t="s">
        <v>85</v>
      </c>
      <c r="G58" s="2" t="s">
        <v>84</v>
      </c>
      <c r="H58" s="2"/>
      <c r="I58" s="2" t="s">
        <v>52</v>
      </c>
      <c r="J58" s="2"/>
      <c r="K58" s="2" t="s">
        <v>97</v>
      </c>
      <c r="L58" s="58" t="s">
        <v>98</v>
      </c>
      <c r="M58" s="4"/>
      <c r="N58" s="5">
        <f t="shared" si="4"/>
        <v>0</v>
      </c>
      <c r="O58" s="5">
        <f t="shared" si="5"/>
        <v>0</v>
      </c>
      <c r="P58" s="5" t="str">
        <f t="shared" si="6"/>
        <v>E</v>
      </c>
      <c r="Q58" s="5">
        <f t="shared" si="7"/>
        <v>0</v>
      </c>
      <c r="X58" s="41"/>
    </row>
    <row r="59" spans="1:24" ht="17.25" customHeight="1" x14ac:dyDescent="0.25">
      <c r="A59" s="5">
        <f t="shared" si="0"/>
        <v>0</v>
      </c>
      <c r="B59" s="5" t="str">
        <f t="shared" si="1"/>
        <v>E</v>
      </c>
      <c r="C59" s="5">
        <f t="shared" si="2"/>
        <v>0</v>
      </c>
      <c r="D59" s="5">
        <f t="shared" si="3"/>
        <v>0</v>
      </c>
      <c r="E59" s="4"/>
      <c r="F59" s="58" t="s">
        <v>89</v>
      </c>
      <c r="G59" s="71" t="s">
        <v>88</v>
      </c>
      <c r="H59" s="2"/>
      <c r="I59" s="2" t="s">
        <v>52</v>
      </c>
      <c r="J59" s="2"/>
      <c r="K59" s="2" t="s">
        <v>71</v>
      </c>
      <c r="L59" s="58" t="s">
        <v>72</v>
      </c>
      <c r="M59" s="4"/>
      <c r="N59" s="5">
        <f t="shared" si="4"/>
        <v>0</v>
      </c>
      <c r="O59" s="5">
        <f t="shared" si="5"/>
        <v>0</v>
      </c>
      <c r="P59" s="5" t="str">
        <f t="shared" si="6"/>
        <v>E</v>
      </c>
      <c r="Q59" s="5">
        <f t="shared" si="7"/>
        <v>0</v>
      </c>
      <c r="X59" s="41"/>
    </row>
    <row r="60" spans="1:24" ht="17.25" customHeight="1" x14ac:dyDescent="0.25">
      <c r="A60" s="5">
        <f t="shared" si="0"/>
        <v>0</v>
      </c>
      <c r="B60" s="5" t="str">
        <f t="shared" si="1"/>
        <v>E</v>
      </c>
      <c r="C60" s="5">
        <f t="shared" si="2"/>
        <v>0</v>
      </c>
      <c r="D60" s="5">
        <f t="shared" si="3"/>
        <v>0</v>
      </c>
      <c r="E60" s="4"/>
      <c r="F60" s="58" t="s">
        <v>61</v>
      </c>
      <c r="G60" s="2" t="s">
        <v>60</v>
      </c>
      <c r="H60" s="2"/>
      <c r="I60" s="2" t="s">
        <v>52</v>
      </c>
      <c r="J60" s="2"/>
      <c r="K60" s="2" t="s">
        <v>77</v>
      </c>
      <c r="L60" s="58" t="s">
        <v>78</v>
      </c>
      <c r="M60" s="4"/>
      <c r="N60" s="5">
        <f t="shared" si="4"/>
        <v>0</v>
      </c>
      <c r="O60" s="5">
        <f t="shared" si="5"/>
        <v>0</v>
      </c>
      <c r="P60" s="5" t="str">
        <f t="shared" si="6"/>
        <v>E</v>
      </c>
      <c r="Q60" s="5">
        <f t="shared" si="7"/>
        <v>0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0</v>
      </c>
      <c r="B63" s="5" t="str">
        <f t="shared" si="1"/>
        <v>E</v>
      </c>
      <c r="C63" s="5">
        <f t="shared" si="2"/>
        <v>0</v>
      </c>
      <c r="D63" s="5">
        <f t="shared" si="3"/>
        <v>0</v>
      </c>
      <c r="E63" s="4"/>
      <c r="F63" s="58" t="s">
        <v>98</v>
      </c>
      <c r="G63" s="2" t="s">
        <v>97</v>
      </c>
      <c r="H63" s="2"/>
      <c r="I63" s="2" t="s">
        <v>52</v>
      </c>
      <c r="J63" s="2"/>
      <c r="K63" s="2" t="s">
        <v>99</v>
      </c>
      <c r="L63" s="58" t="s">
        <v>100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41"/>
    </row>
    <row r="64" spans="1:24" ht="17.25" customHeight="1" x14ac:dyDescent="0.25">
      <c r="A64" s="5">
        <f t="shared" si="0"/>
        <v>0</v>
      </c>
      <c r="B64" s="5" t="str">
        <f t="shared" si="1"/>
        <v>E</v>
      </c>
      <c r="C64" s="5">
        <f t="shared" si="2"/>
        <v>0</v>
      </c>
      <c r="D64" s="5">
        <f t="shared" si="3"/>
        <v>0</v>
      </c>
      <c r="E64" s="4"/>
      <c r="F64" s="58" t="s">
        <v>69</v>
      </c>
      <c r="G64" s="71" t="s">
        <v>70</v>
      </c>
      <c r="H64" s="2"/>
      <c r="I64" s="2" t="s">
        <v>52</v>
      </c>
      <c r="J64" s="2"/>
      <c r="K64" s="2" t="s">
        <v>81</v>
      </c>
      <c r="L64" s="58" t="s">
        <v>82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41"/>
    </row>
    <row r="65" spans="1:24" ht="17.25" customHeight="1" x14ac:dyDescent="0.25">
      <c r="A65" s="5">
        <f t="shared" si="0"/>
        <v>0</v>
      </c>
      <c r="B65" s="5" t="str">
        <f t="shared" si="1"/>
        <v>E</v>
      </c>
      <c r="C65" s="5">
        <f t="shared" si="2"/>
        <v>0</v>
      </c>
      <c r="D65" s="5">
        <f t="shared" si="3"/>
        <v>0</v>
      </c>
      <c r="E65" s="4"/>
      <c r="F65" s="58" t="s">
        <v>96</v>
      </c>
      <c r="G65" s="2" t="s">
        <v>95</v>
      </c>
      <c r="H65" s="2"/>
      <c r="I65" s="2" t="s">
        <v>52</v>
      </c>
      <c r="J65" s="2"/>
      <c r="K65" s="2" t="s">
        <v>76</v>
      </c>
      <c r="L65" s="58" t="s">
        <v>75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42"/>
    </row>
    <row r="66" spans="1:24" ht="17.25" customHeight="1" x14ac:dyDescent="0.25">
      <c r="A66" s="5">
        <f t="shared" si="0"/>
        <v>0</v>
      </c>
      <c r="B66" s="5" t="str">
        <f t="shared" si="1"/>
        <v>E</v>
      </c>
      <c r="C66" s="5">
        <f t="shared" si="2"/>
        <v>0</v>
      </c>
      <c r="D66" s="5">
        <f t="shared" si="3"/>
        <v>0</v>
      </c>
      <c r="E66" s="4"/>
      <c r="F66" s="58" t="s">
        <v>73</v>
      </c>
      <c r="G66" s="2" t="s">
        <v>74</v>
      </c>
      <c r="H66" s="2"/>
      <c r="I66" s="2" t="s">
        <v>52</v>
      </c>
      <c r="J66" s="2"/>
      <c r="K66" s="2" t="s">
        <v>86</v>
      </c>
      <c r="L66" s="58" t="s">
        <v>87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41"/>
    </row>
    <row r="67" spans="1:24" ht="17.25" customHeight="1" x14ac:dyDescent="0.25">
      <c r="A67" s="5">
        <f t="shared" si="0"/>
        <v>0</v>
      </c>
      <c r="B67" s="5" t="str">
        <f t="shared" si="1"/>
        <v>E</v>
      </c>
      <c r="C67" s="5">
        <f t="shared" si="2"/>
        <v>0</v>
      </c>
      <c r="D67" s="5">
        <f t="shared" si="3"/>
        <v>0</v>
      </c>
      <c r="E67" s="4"/>
      <c r="F67" s="58" t="s">
        <v>83</v>
      </c>
      <c r="G67" s="2" t="s">
        <v>68</v>
      </c>
      <c r="H67" s="2"/>
      <c r="I67" s="2" t="s">
        <v>52</v>
      </c>
      <c r="J67" s="2"/>
      <c r="K67" s="2" t="s">
        <v>84</v>
      </c>
      <c r="L67" s="58" t="s">
        <v>85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41"/>
    </row>
    <row r="68" spans="1:24" ht="17.25" customHeight="1" x14ac:dyDescent="0.25">
      <c r="A68" s="5">
        <f t="shared" ref="A68:A131" si="8">C68-D68</f>
        <v>0</v>
      </c>
      <c r="B68" s="5" t="str">
        <f t="shared" ref="B68:B131" si="9">_xlfn.IFS(A68&gt;=5,"V",A68&lt;=-5,"D",A68&lt;=-4.99,"E",A68&lt;=4.99,"E")</f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58" t="s">
        <v>66</v>
      </c>
      <c r="G68" s="2" t="s">
        <v>92</v>
      </c>
      <c r="H68" s="2"/>
      <c r="I68" s="2" t="s">
        <v>52</v>
      </c>
      <c r="J68" s="2"/>
      <c r="K68" s="2" t="s">
        <v>60</v>
      </c>
      <c r="L68" s="58" t="s">
        <v>61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41"/>
    </row>
    <row r="69" spans="1:24" ht="17.25" customHeight="1" x14ac:dyDescent="0.25">
      <c r="A69" s="5">
        <f t="shared" si="8"/>
        <v>0</v>
      </c>
      <c r="B69" s="5" t="str">
        <f t="shared" si="9"/>
        <v>E</v>
      </c>
      <c r="C69" s="5">
        <f t="shared" si="10"/>
        <v>0</v>
      </c>
      <c r="D69" s="5">
        <f t="shared" si="11"/>
        <v>0</v>
      </c>
      <c r="E69" s="4"/>
      <c r="F69" s="58" t="s">
        <v>72</v>
      </c>
      <c r="G69" s="2" t="s">
        <v>71</v>
      </c>
      <c r="H69" s="2"/>
      <c r="I69" s="2" t="s">
        <v>52</v>
      </c>
      <c r="J69" s="2"/>
      <c r="K69" s="2" t="s">
        <v>64</v>
      </c>
      <c r="L69" s="58" t="s">
        <v>65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41"/>
    </row>
    <row r="70" spans="1:24" ht="17.25" customHeight="1" x14ac:dyDescent="0.25">
      <c r="A70" s="5">
        <f t="shared" si="8"/>
        <v>0</v>
      </c>
      <c r="B70" s="5" t="str">
        <f t="shared" si="9"/>
        <v>E</v>
      </c>
      <c r="C70" s="5">
        <f t="shared" si="10"/>
        <v>0</v>
      </c>
      <c r="D70" s="5">
        <f t="shared" si="11"/>
        <v>0</v>
      </c>
      <c r="E70" s="4"/>
      <c r="F70" s="58" t="s">
        <v>80</v>
      </c>
      <c r="G70" s="2" t="s">
        <v>79</v>
      </c>
      <c r="H70" s="2"/>
      <c r="I70" s="2" t="s">
        <v>52</v>
      </c>
      <c r="J70" s="2"/>
      <c r="K70" s="2" t="s">
        <v>62</v>
      </c>
      <c r="L70" s="58" t="s">
        <v>63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42"/>
    </row>
    <row r="71" spans="1:24" ht="17.25" customHeight="1" x14ac:dyDescent="0.25">
      <c r="A71" s="5">
        <f t="shared" si="8"/>
        <v>0</v>
      </c>
      <c r="B71" s="5" t="str">
        <f t="shared" si="9"/>
        <v>E</v>
      </c>
      <c r="C71" s="5">
        <f t="shared" si="10"/>
        <v>0</v>
      </c>
      <c r="D71" s="5">
        <f t="shared" si="11"/>
        <v>0</v>
      </c>
      <c r="E71" s="4"/>
      <c r="F71" s="58" t="s">
        <v>94</v>
      </c>
      <c r="G71" s="2" t="s">
        <v>93</v>
      </c>
      <c r="H71" s="2"/>
      <c r="I71" s="2" t="s">
        <v>52</v>
      </c>
      <c r="J71" s="2"/>
      <c r="K71" s="2" t="s">
        <v>90</v>
      </c>
      <c r="L71" s="58" t="s">
        <v>91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41"/>
    </row>
    <row r="72" spans="1:24" ht="17.25" customHeight="1" x14ac:dyDescent="0.25">
      <c r="A72" s="5">
        <f t="shared" si="8"/>
        <v>0</v>
      </c>
      <c r="B72" s="5" t="str">
        <f t="shared" si="9"/>
        <v>E</v>
      </c>
      <c r="C72" s="5">
        <f t="shared" si="10"/>
        <v>0</v>
      </c>
      <c r="D72" s="5">
        <f t="shared" si="11"/>
        <v>0</v>
      </c>
      <c r="E72" s="4"/>
      <c r="F72" s="58" t="s">
        <v>78</v>
      </c>
      <c r="G72" s="2" t="s">
        <v>77</v>
      </c>
      <c r="H72" s="2"/>
      <c r="I72" s="2" t="s">
        <v>52</v>
      </c>
      <c r="J72" s="2"/>
      <c r="K72" s="71" t="s">
        <v>88</v>
      </c>
      <c r="L72" s="58" t="s">
        <v>89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58" t="s">
        <v>98</v>
      </c>
      <c r="G75" s="2" t="s">
        <v>97</v>
      </c>
      <c r="H75" s="2"/>
      <c r="I75" s="2" t="s">
        <v>52</v>
      </c>
      <c r="J75" s="2"/>
      <c r="K75" s="2" t="s">
        <v>77</v>
      </c>
      <c r="L75" s="58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41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58" t="s">
        <v>69</v>
      </c>
      <c r="G76" s="71" t="s">
        <v>70</v>
      </c>
      <c r="H76" s="2"/>
      <c r="I76" s="2" t="s">
        <v>52</v>
      </c>
      <c r="J76" s="2"/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41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58" t="s">
        <v>65</v>
      </c>
      <c r="G77" s="2" t="s">
        <v>64</v>
      </c>
      <c r="H77" s="2"/>
      <c r="I77" s="2" t="s">
        <v>52</v>
      </c>
      <c r="J77" s="2"/>
      <c r="K77" s="2" t="s">
        <v>81</v>
      </c>
      <c r="L77" s="58" t="s">
        <v>82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41"/>
    </row>
    <row r="78" spans="1:24" ht="17.25" customHeight="1" x14ac:dyDescent="0.25">
      <c r="A78" s="5">
        <f>C78-D78</f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58" t="s">
        <v>73</v>
      </c>
      <c r="G78" s="2" t="s">
        <v>74</v>
      </c>
      <c r="H78" s="2"/>
      <c r="I78" s="2" t="s">
        <v>52</v>
      </c>
      <c r="J78" s="2"/>
      <c r="K78" s="2" t="s">
        <v>99</v>
      </c>
      <c r="L78" s="58" t="s">
        <v>100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41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58" t="s">
        <v>83</v>
      </c>
      <c r="G79" s="2" t="s">
        <v>68</v>
      </c>
      <c r="H79" s="2"/>
      <c r="I79" s="2" t="s">
        <v>52</v>
      </c>
      <c r="J79" s="2"/>
      <c r="K79" s="2" t="s">
        <v>95</v>
      </c>
      <c r="L79" s="58" t="s">
        <v>96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42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58" t="s">
        <v>66</v>
      </c>
      <c r="G80" s="2" t="s">
        <v>92</v>
      </c>
      <c r="H80" s="2"/>
      <c r="I80" s="2" t="s">
        <v>52</v>
      </c>
      <c r="J80" s="2"/>
      <c r="K80" s="2" t="s">
        <v>62</v>
      </c>
      <c r="L80" s="58" t="s">
        <v>63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41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58" t="s">
        <v>72</v>
      </c>
      <c r="G81" s="2" t="s">
        <v>71</v>
      </c>
      <c r="H81" s="2"/>
      <c r="I81" s="2" t="s">
        <v>52</v>
      </c>
      <c r="J81" s="2"/>
      <c r="K81" s="2" t="s">
        <v>86</v>
      </c>
      <c r="L81" s="58" t="s">
        <v>87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41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58" t="s">
        <v>85</v>
      </c>
      <c r="G82" s="2" t="s">
        <v>84</v>
      </c>
      <c r="H82" s="2"/>
      <c r="I82" s="2" t="s">
        <v>52</v>
      </c>
      <c r="J82" s="2"/>
      <c r="K82" s="2" t="s">
        <v>90</v>
      </c>
      <c r="L82" s="58" t="s">
        <v>91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41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58" t="s">
        <v>89</v>
      </c>
      <c r="G83" s="71" t="s">
        <v>88</v>
      </c>
      <c r="H83" s="2"/>
      <c r="I83" s="2" t="s">
        <v>52</v>
      </c>
      <c r="J83" s="2"/>
      <c r="K83" s="2" t="s">
        <v>93</v>
      </c>
      <c r="L83" s="58" t="s">
        <v>94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41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58" t="s">
        <v>61</v>
      </c>
      <c r="G84" s="2" t="s">
        <v>60</v>
      </c>
      <c r="H84" s="2"/>
      <c r="I84" s="2" t="s">
        <v>52</v>
      </c>
      <c r="J84" s="2"/>
      <c r="K84" s="2" t="s">
        <v>76</v>
      </c>
      <c r="L84" s="58" t="s">
        <v>75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58" t="s">
        <v>87</v>
      </c>
      <c r="G87" s="2" t="s">
        <v>86</v>
      </c>
      <c r="H87" s="2"/>
      <c r="I87" s="2" t="s">
        <v>52</v>
      </c>
      <c r="J87" s="2"/>
      <c r="K87" s="2" t="s">
        <v>93</v>
      </c>
      <c r="L87" s="58" t="s">
        <v>94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58" t="s">
        <v>100</v>
      </c>
      <c r="G88" s="2" t="s">
        <v>99</v>
      </c>
      <c r="H88" s="2"/>
      <c r="I88" s="2" t="s">
        <v>52</v>
      </c>
      <c r="J88" s="2"/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58" t="s">
        <v>96</v>
      </c>
      <c r="G89" s="2" t="s">
        <v>95</v>
      </c>
      <c r="H89" s="2"/>
      <c r="I89" s="2" t="s">
        <v>52</v>
      </c>
      <c r="J89" s="2"/>
      <c r="K89" s="2" t="s">
        <v>97</v>
      </c>
      <c r="L89" s="58" t="s">
        <v>98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58" t="s">
        <v>91</v>
      </c>
      <c r="G90" s="2" t="s">
        <v>90</v>
      </c>
      <c r="H90" s="2"/>
      <c r="I90" s="2" t="s">
        <v>52</v>
      </c>
      <c r="J90" s="2"/>
      <c r="K90" s="2" t="s">
        <v>64</v>
      </c>
      <c r="L90" s="58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58" t="s">
        <v>75</v>
      </c>
      <c r="G91" s="2" t="s">
        <v>76</v>
      </c>
      <c r="H91" s="2"/>
      <c r="I91" s="2" t="s">
        <v>52</v>
      </c>
      <c r="J91" s="2"/>
      <c r="K91" s="71" t="s">
        <v>70</v>
      </c>
      <c r="L91" s="58" t="s">
        <v>69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58" t="s">
        <v>82</v>
      </c>
      <c r="G92" s="2" t="s">
        <v>81</v>
      </c>
      <c r="H92" s="2"/>
      <c r="I92" s="2" t="s">
        <v>52</v>
      </c>
      <c r="J92" s="2"/>
      <c r="K92" s="2" t="s">
        <v>71</v>
      </c>
      <c r="L92" s="58" t="s">
        <v>72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58" t="s">
        <v>63</v>
      </c>
      <c r="G93" s="2" t="s">
        <v>62</v>
      </c>
      <c r="H93" s="2"/>
      <c r="I93" s="2" t="s">
        <v>52</v>
      </c>
      <c r="J93" s="2"/>
      <c r="K93" s="2" t="s">
        <v>60</v>
      </c>
      <c r="L93" s="58" t="s">
        <v>61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58" t="s">
        <v>80</v>
      </c>
      <c r="G94" s="2" t="s">
        <v>79</v>
      </c>
      <c r="H94" s="2"/>
      <c r="I94" s="2" t="s">
        <v>52</v>
      </c>
      <c r="J94" s="2"/>
      <c r="K94" s="2" t="s">
        <v>68</v>
      </c>
      <c r="L94" s="58" t="s">
        <v>83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58" t="s">
        <v>89</v>
      </c>
      <c r="G95" s="71" t="s">
        <v>88</v>
      </c>
      <c r="H95" s="2"/>
      <c r="I95" s="2" t="s">
        <v>52</v>
      </c>
      <c r="J95" s="2"/>
      <c r="K95" s="2" t="s">
        <v>74</v>
      </c>
      <c r="L95" s="58" t="s">
        <v>73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58" t="s">
        <v>78</v>
      </c>
      <c r="G96" s="2" t="s">
        <v>77</v>
      </c>
      <c r="H96" s="2"/>
      <c r="I96" s="2" t="s">
        <v>52</v>
      </c>
      <c r="J96" s="2"/>
      <c r="K96" s="2" t="s">
        <v>92</v>
      </c>
      <c r="L96" s="58" t="s">
        <v>66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58" t="s">
        <v>98</v>
      </c>
      <c r="G99" s="2" t="s">
        <v>97</v>
      </c>
      <c r="H99" s="2"/>
      <c r="I99" s="2" t="s">
        <v>52</v>
      </c>
      <c r="J99" s="2"/>
      <c r="K99" s="2" t="s">
        <v>86</v>
      </c>
      <c r="L99" s="58" t="s">
        <v>87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58" t="s">
        <v>100</v>
      </c>
      <c r="G100" s="2" t="s">
        <v>99</v>
      </c>
      <c r="H100" s="2"/>
      <c r="I100" s="2" t="s">
        <v>52</v>
      </c>
      <c r="J100" s="2"/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58" t="s">
        <v>96</v>
      </c>
      <c r="G101" s="2" t="s">
        <v>95</v>
      </c>
      <c r="H101" s="2"/>
      <c r="I101" s="2" t="s">
        <v>52</v>
      </c>
      <c r="J101" s="2"/>
      <c r="K101" s="2" t="s">
        <v>90</v>
      </c>
      <c r="L101" s="58" t="s">
        <v>91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58" t="s">
        <v>73</v>
      </c>
      <c r="G102" s="2" t="s">
        <v>74</v>
      </c>
      <c r="H102" s="2"/>
      <c r="I102" s="2" t="s">
        <v>52</v>
      </c>
      <c r="J102" s="2"/>
      <c r="K102" s="2" t="s">
        <v>68</v>
      </c>
      <c r="L102" s="58" t="s">
        <v>83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58" t="s">
        <v>75</v>
      </c>
      <c r="G103" s="2" t="s">
        <v>76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58" t="s">
        <v>82</v>
      </c>
      <c r="G104" s="2" t="s">
        <v>81</v>
      </c>
      <c r="H104" s="2"/>
      <c r="I104" s="2" t="s">
        <v>52</v>
      </c>
      <c r="J104" s="2"/>
      <c r="K104" s="71" t="s">
        <v>88</v>
      </c>
      <c r="L104" s="58" t="s">
        <v>89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58" t="s">
        <v>72</v>
      </c>
      <c r="G105" s="2" t="s">
        <v>71</v>
      </c>
      <c r="H105" s="2"/>
      <c r="I105" s="2" t="s">
        <v>52</v>
      </c>
      <c r="J105" s="2"/>
      <c r="K105" s="2" t="s">
        <v>92</v>
      </c>
      <c r="L105" s="58" t="s">
        <v>66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58" t="s">
        <v>85</v>
      </c>
      <c r="G106" s="2" t="s">
        <v>84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58" t="s">
        <v>94</v>
      </c>
      <c r="G107" s="2" t="s">
        <v>93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79</v>
      </c>
      <c r="L108" s="58" t="s">
        <v>80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58" t="s">
        <v>98</v>
      </c>
      <c r="G111" s="2" t="s">
        <v>97</v>
      </c>
      <c r="H111" s="2"/>
      <c r="I111" s="2" t="s">
        <v>52</v>
      </c>
      <c r="J111" s="2"/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99</v>
      </c>
      <c r="L112" s="58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58" t="s">
        <v>73</v>
      </c>
      <c r="G114" s="2" t="s">
        <v>74</v>
      </c>
      <c r="H114" s="2"/>
      <c r="I114" s="2" t="s">
        <v>52</v>
      </c>
      <c r="J114" s="2"/>
      <c r="K114" s="2" t="s">
        <v>95</v>
      </c>
      <c r="L114" s="58" t="s">
        <v>96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58" t="s">
        <v>83</v>
      </c>
      <c r="G115" s="2" t="s">
        <v>68</v>
      </c>
      <c r="H115" s="2"/>
      <c r="I115" s="2" t="s">
        <v>52</v>
      </c>
      <c r="J115" s="2"/>
      <c r="K115" s="2" t="s">
        <v>90</v>
      </c>
      <c r="L115" s="58" t="s">
        <v>91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58" t="s">
        <v>66</v>
      </c>
      <c r="G116" s="2" t="s">
        <v>92</v>
      </c>
      <c r="H116" s="2"/>
      <c r="I116" s="2" t="s">
        <v>52</v>
      </c>
      <c r="J116" s="2"/>
      <c r="K116" s="2" t="s">
        <v>93</v>
      </c>
      <c r="L116" s="58" t="s">
        <v>94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58" t="s">
        <v>72</v>
      </c>
      <c r="G117" s="2" t="s">
        <v>71</v>
      </c>
      <c r="H117" s="2"/>
      <c r="I117" s="2" t="s">
        <v>52</v>
      </c>
      <c r="J117" s="2"/>
      <c r="K117" s="2" t="s">
        <v>77</v>
      </c>
      <c r="L117" s="58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58" t="s">
        <v>85</v>
      </c>
      <c r="G118" s="2" t="s">
        <v>84</v>
      </c>
      <c r="H118" s="2"/>
      <c r="I118" s="2" t="s">
        <v>52</v>
      </c>
      <c r="J118" s="2"/>
      <c r="K118" s="2" t="s">
        <v>79</v>
      </c>
      <c r="L118" s="58" t="s">
        <v>80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58" t="s">
        <v>89</v>
      </c>
      <c r="G119" s="71" t="s">
        <v>88</v>
      </c>
      <c r="H119" s="2"/>
      <c r="I119" s="2" t="s">
        <v>52</v>
      </c>
      <c r="J119" s="2"/>
      <c r="K119" s="2" t="s">
        <v>86</v>
      </c>
      <c r="L119" s="58" t="s">
        <v>87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81</v>
      </c>
      <c r="L120" s="58" t="s">
        <v>82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Sociedad Football</v>
      </c>
      <c r="Y239" s="18">
        <f t="shared" ref="Y239:AG254" si="32">Y3</f>
        <v>10</v>
      </c>
      <c r="Z239" s="18">
        <f t="shared" si="32"/>
        <v>4</v>
      </c>
      <c r="AA239" s="18">
        <f t="shared" si="32"/>
        <v>3</v>
      </c>
      <c r="AB239" s="18">
        <f t="shared" si="32"/>
        <v>1</v>
      </c>
      <c r="AC239" s="18">
        <f t="shared" si="32"/>
        <v>0</v>
      </c>
      <c r="AD239" s="18">
        <f t="shared" si="32"/>
        <v>318.95999999999998</v>
      </c>
      <c r="AE239" s="18">
        <f t="shared" si="32"/>
        <v>214.31</v>
      </c>
      <c r="AF239" s="23">
        <f t="shared" si="32"/>
        <v>104.64999999999998</v>
      </c>
      <c r="AG239" s="32">
        <f t="shared" si="32"/>
        <v>79.739999999999995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Raio negro hd</v>
      </c>
      <c r="Y240" s="29">
        <f t="shared" si="32"/>
        <v>10</v>
      </c>
      <c r="Z240" s="29">
        <f t="shared" si="32"/>
        <v>4</v>
      </c>
      <c r="AA240" s="29">
        <f t="shared" si="32"/>
        <v>3</v>
      </c>
      <c r="AB240" s="29">
        <f t="shared" si="32"/>
        <v>1</v>
      </c>
      <c r="AC240" s="29">
        <f t="shared" si="32"/>
        <v>0</v>
      </c>
      <c r="AD240" s="29">
        <f t="shared" si="32"/>
        <v>385.17999999999995</v>
      </c>
      <c r="AE240" s="29">
        <f t="shared" si="32"/>
        <v>320.02999999999997</v>
      </c>
      <c r="AF240" s="24">
        <f t="shared" si="32"/>
        <v>65.149999999999977</v>
      </c>
      <c r="AG240" s="33">
        <f t="shared" si="32"/>
        <v>96.294999999999987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9</v>
      </c>
      <c r="Z241" s="29">
        <f t="shared" si="32"/>
        <v>4</v>
      </c>
      <c r="AA241" s="29">
        <f t="shared" si="32"/>
        <v>3</v>
      </c>
      <c r="AB241" s="29">
        <f t="shared" si="32"/>
        <v>0</v>
      </c>
      <c r="AC241" s="29">
        <f t="shared" si="32"/>
        <v>1</v>
      </c>
      <c r="AD241" s="29">
        <f t="shared" si="32"/>
        <v>356.84000000000003</v>
      </c>
      <c r="AE241" s="29">
        <f t="shared" si="32"/>
        <v>270.13</v>
      </c>
      <c r="AF241" s="24">
        <f t="shared" si="32"/>
        <v>86.710000000000036</v>
      </c>
      <c r="AG241" s="33">
        <f t="shared" si="32"/>
        <v>89.210000000000008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maurícioriachesse</v>
      </c>
      <c r="Y242" s="29">
        <f t="shared" si="32"/>
        <v>9</v>
      </c>
      <c r="Z242" s="29">
        <f t="shared" si="32"/>
        <v>4</v>
      </c>
      <c r="AA242" s="29">
        <f t="shared" si="32"/>
        <v>3</v>
      </c>
      <c r="AB242" s="29">
        <f t="shared" si="32"/>
        <v>0</v>
      </c>
      <c r="AC242" s="29">
        <f t="shared" si="32"/>
        <v>1</v>
      </c>
      <c r="AD242" s="29">
        <f t="shared" si="32"/>
        <v>378.28</v>
      </c>
      <c r="AE242" s="29">
        <f t="shared" si="32"/>
        <v>325.58999999999997</v>
      </c>
      <c r="AF242" s="24">
        <f t="shared" si="32"/>
        <v>52.69</v>
      </c>
      <c r="AG242" s="33">
        <f t="shared" si="32"/>
        <v>94.57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Camuri futebol club</v>
      </c>
      <c r="Y243" s="30">
        <f t="shared" si="32"/>
        <v>8</v>
      </c>
      <c r="Z243" s="30">
        <f t="shared" si="32"/>
        <v>4</v>
      </c>
      <c r="AA243" s="30">
        <f t="shared" si="32"/>
        <v>2</v>
      </c>
      <c r="AB243" s="30">
        <f t="shared" si="32"/>
        <v>2</v>
      </c>
      <c r="AC243" s="30">
        <f t="shared" si="32"/>
        <v>0</v>
      </c>
      <c r="AD243" s="30">
        <f t="shared" si="32"/>
        <v>331.91999999999996</v>
      </c>
      <c r="AE243" s="30">
        <f t="shared" si="32"/>
        <v>247.64</v>
      </c>
      <c r="AF243" s="25">
        <f t="shared" si="32"/>
        <v>84.279999999999973</v>
      </c>
      <c r="AG243" s="33">
        <f t="shared" si="32"/>
        <v>82.97999999999999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timão.riacho.FC.13</v>
      </c>
      <c r="Y244" s="30">
        <f t="shared" si="32"/>
        <v>7</v>
      </c>
      <c r="Z244" s="30">
        <f t="shared" si="32"/>
        <v>4</v>
      </c>
      <c r="AA244" s="30">
        <f t="shared" si="32"/>
        <v>2</v>
      </c>
      <c r="AB244" s="30">
        <f t="shared" si="32"/>
        <v>1</v>
      </c>
      <c r="AC244" s="30">
        <f t="shared" si="32"/>
        <v>1</v>
      </c>
      <c r="AD244" s="30">
        <f t="shared" si="32"/>
        <v>244.20999999999998</v>
      </c>
      <c r="AE244" s="30">
        <f t="shared" si="32"/>
        <v>191.63</v>
      </c>
      <c r="AF244" s="25">
        <f t="shared" si="32"/>
        <v>52.579999999999984</v>
      </c>
      <c r="AG244" s="33">
        <f t="shared" si="32"/>
        <v>61.052499999999995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Louco Fc 01</v>
      </c>
      <c r="Y245" s="30">
        <f t="shared" si="32"/>
        <v>7</v>
      </c>
      <c r="Z245" s="30">
        <f t="shared" si="32"/>
        <v>4</v>
      </c>
      <c r="AA245" s="30">
        <f t="shared" si="32"/>
        <v>2</v>
      </c>
      <c r="AB245" s="30">
        <f t="shared" si="32"/>
        <v>1</v>
      </c>
      <c r="AC245" s="30">
        <f t="shared" si="32"/>
        <v>1</v>
      </c>
      <c r="AD245" s="30">
        <f t="shared" si="32"/>
        <v>324.62</v>
      </c>
      <c r="AE245" s="30">
        <f t="shared" si="32"/>
        <v>276.15999999999997</v>
      </c>
      <c r="AF245" s="25">
        <f t="shared" si="32"/>
        <v>48.460000000000036</v>
      </c>
      <c r="AG245" s="33">
        <f t="shared" si="32"/>
        <v>81.155000000000001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Racionais FC_81</v>
      </c>
      <c r="Y246" s="30">
        <f t="shared" si="32"/>
        <v>7</v>
      </c>
      <c r="Z246" s="30">
        <f t="shared" si="32"/>
        <v>4</v>
      </c>
      <c r="AA246" s="30">
        <f t="shared" si="32"/>
        <v>2</v>
      </c>
      <c r="AB246" s="30">
        <f t="shared" si="32"/>
        <v>1</v>
      </c>
      <c r="AC246" s="30">
        <f t="shared" si="32"/>
        <v>1</v>
      </c>
      <c r="AD246" s="30">
        <f t="shared" si="32"/>
        <v>280.48</v>
      </c>
      <c r="AE246" s="30">
        <f t="shared" si="32"/>
        <v>235.17</v>
      </c>
      <c r="AF246" s="25">
        <f t="shared" si="32"/>
        <v>45.310000000000031</v>
      </c>
      <c r="AG246" s="33">
        <f t="shared" si="32"/>
        <v>70.12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SEPalmeiras Imponente</v>
      </c>
      <c r="Y247" s="30">
        <f t="shared" si="32"/>
        <v>7</v>
      </c>
      <c r="Z247" s="30">
        <f t="shared" si="32"/>
        <v>4</v>
      </c>
      <c r="AA247" s="30">
        <f t="shared" si="32"/>
        <v>2</v>
      </c>
      <c r="AB247" s="30">
        <f t="shared" si="32"/>
        <v>1</v>
      </c>
      <c r="AC247" s="30">
        <f t="shared" si="32"/>
        <v>1</v>
      </c>
      <c r="AD247" s="30">
        <f t="shared" si="32"/>
        <v>326.95999999999998</v>
      </c>
      <c r="AE247" s="30">
        <f t="shared" si="32"/>
        <v>337.68</v>
      </c>
      <c r="AF247" s="25">
        <f t="shared" si="32"/>
        <v>-10.720000000000027</v>
      </c>
      <c r="AG247" s="33">
        <f t="shared" si="32"/>
        <v>81.739999999999995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Contenda 1995 Fc</v>
      </c>
      <c r="Y248" s="30">
        <f t="shared" si="32"/>
        <v>6</v>
      </c>
      <c r="Z248" s="30">
        <f t="shared" si="32"/>
        <v>4</v>
      </c>
      <c r="AA248" s="30">
        <f t="shared" si="32"/>
        <v>2</v>
      </c>
      <c r="AB248" s="30">
        <f t="shared" si="32"/>
        <v>0</v>
      </c>
      <c r="AC248" s="30">
        <f t="shared" si="32"/>
        <v>2</v>
      </c>
      <c r="AD248" s="30">
        <f t="shared" si="32"/>
        <v>235.39</v>
      </c>
      <c r="AE248" s="30">
        <f t="shared" si="32"/>
        <v>238.32</v>
      </c>
      <c r="AF248" s="25">
        <f t="shared" si="32"/>
        <v>-2.9300000000000068</v>
      </c>
      <c r="AG248" s="33">
        <f t="shared" si="32"/>
        <v>58.847499999999997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pikachu 34</v>
      </c>
      <c r="Y249" s="30">
        <f t="shared" si="32"/>
        <v>6</v>
      </c>
      <c r="Z249" s="30">
        <f t="shared" si="32"/>
        <v>4</v>
      </c>
      <c r="AA249" s="30">
        <f t="shared" si="32"/>
        <v>1</v>
      </c>
      <c r="AB249" s="30">
        <f t="shared" si="32"/>
        <v>3</v>
      </c>
      <c r="AC249" s="30">
        <f t="shared" si="32"/>
        <v>0</v>
      </c>
      <c r="AD249" s="30">
        <f t="shared" si="32"/>
        <v>356.97</v>
      </c>
      <c r="AE249" s="30">
        <f t="shared" si="32"/>
        <v>279.64</v>
      </c>
      <c r="AF249" s="25">
        <f t="shared" si="32"/>
        <v>77.330000000000041</v>
      </c>
      <c r="AG249" s="33">
        <f t="shared" si="32"/>
        <v>89.242500000000007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McDonald's DCR</v>
      </c>
      <c r="Y250" s="30">
        <f t="shared" si="32"/>
        <v>5</v>
      </c>
      <c r="Z250" s="30">
        <f t="shared" si="32"/>
        <v>4</v>
      </c>
      <c r="AA250" s="30">
        <f t="shared" si="32"/>
        <v>1</v>
      </c>
      <c r="AB250" s="30">
        <f t="shared" si="32"/>
        <v>2</v>
      </c>
      <c r="AC250" s="30">
        <f t="shared" si="32"/>
        <v>1</v>
      </c>
      <c r="AD250" s="30">
        <f t="shared" si="32"/>
        <v>309.05</v>
      </c>
      <c r="AE250" s="30">
        <f t="shared" si="32"/>
        <v>307.43999999999994</v>
      </c>
      <c r="AF250" s="25">
        <f t="shared" si="32"/>
        <v>1.6100000000000705</v>
      </c>
      <c r="AG250" s="33">
        <f t="shared" si="32"/>
        <v>77.262500000000003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KORINCHASU</v>
      </c>
      <c r="Y251" s="30">
        <f t="shared" si="32"/>
        <v>4</v>
      </c>
      <c r="Z251" s="30">
        <f t="shared" si="32"/>
        <v>4</v>
      </c>
      <c r="AA251" s="30">
        <f t="shared" si="32"/>
        <v>1</v>
      </c>
      <c r="AB251" s="30">
        <f t="shared" si="32"/>
        <v>1</v>
      </c>
      <c r="AC251" s="30">
        <f t="shared" si="32"/>
        <v>2</v>
      </c>
      <c r="AD251" s="30">
        <f t="shared" si="32"/>
        <v>346.68</v>
      </c>
      <c r="AE251" s="30">
        <f t="shared" si="32"/>
        <v>345.86</v>
      </c>
      <c r="AF251" s="25">
        <f t="shared" si="32"/>
        <v>0.81999999999999318</v>
      </c>
      <c r="AG251" s="33">
        <f t="shared" si="32"/>
        <v>86.67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Álef Pitbull</v>
      </c>
      <c r="Y252" s="30">
        <f t="shared" si="32"/>
        <v>4</v>
      </c>
      <c r="Z252" s="30">
        <f t="shared" si="32"/>
        <v>4</v>
      </c>
      <c r="AA252" s="30">
        <f t="shared" si="32"/>
        <v>1</v>
      </c>
      <c r="AB252" s="30">
        <f t="shared" si="32"/>
        <v>1</v>
      </c>
      <c r="AC252" s="30">
        <f t="shared" si="32"/>
        <v>2</v>
      </c>
      <c r="AD252" s="30">
        <f t="shared" si="32"/>
        <v>293.05999999999995</v>
      </c>
      <c r="AE252" s="30">
        <f t="shared" si="32"/>
        <v>323.62</v>
      </c>
      <c r="AF252" s="25">
        <f t="shared" si="32"/>
        <v>-30.560000000000059</v>
      </c>
      <c r="AG252" s="33">
        <f t="shared" si="32"/>
        <v>73.264999999999986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Patativa Celeste FC</v>
      </c>
      <c r="Y253" s="30">
        <f t="shared" si="32"/>
        <v>4</v>
      </c>
      <c r="Z253" s="30">
        <f t="shared" si="32"/>
        <v>4</v>
      </c>
      <c r="AA253" s="30">
        <f t="shared" si="32"/>
        <v>1</v>
      </c>
      <c r="AB253" s="30">
        <f t="shared" si="32"/>
        <v>1</v>
      </c>
      <c r="AC253" s="30">
        <f t="shared" si="32"/>
        <v>2</v>
      </c>
      <c r="AD253" s="30">
        <f t="shared" si="32"/>
        <v>183.06</v>
      </c>
      <c r="AE253" s="30">
        <f t="shared" si="32"/>
        <v>319.24</v>
      </c>
      <c r="AF253" s="25">
        <f t="shared" si="32"/>
        <v>-136.18</v>
      </c>
      <c r="AG253" s="33">
        <f t="shared" si="32"/>
        <v>45.765000000000001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Nelore myo</v>
      </c>
      <c r="Y254" s="30">
        <f t="shared" si="32"/>
        <v>3</v>
      </c>
      <c r="Z254" s="30">
        <f t="shared" si="32"/>
        <v>4</v>
      </c>
      <c r="AA254" s="30">
        <f t="shared" si="32"/>
        <v>1</v>
      </c>
      <c r="AB254" s="30">
        <f t="shared" si="32"/>
        <v>0</v>
      </c>
      <c r="AC254" s="30">
        <f t="shared" si="32"/>
        <v>3</v>
      </c>
      <c r="AD254" s="30">
        <f t="shared" si="32"/>
        <v>284.83</v>
      </c>
      <c r="AE254" s="30">
        <f t="shared" si="32"/>
        <v>333.84000000000003</v>
      </c>
      <c r="AF254" s="25">
        <f t="shared" si="32"/>
        <v>-49.010000000000048</v>
      </c>
      <c r="AG254" s="33">
        <f t="shared" si="32"/>
        <v>71.207499999999996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Inter Movistar 14</v>
      </c>
      <c r="Y255" s="31">
        <f t="shared" si="33"/>
        <v>3</v>
      </c>
      <c r="Z255" s="31">
        <f t="shared" si="33"/>
        <v>4</v>
      </c>
      <c r="AA255" s="31">
        <f t="shared" si="33"/>
        <v>1</v>
      </c>
      <c r="AB255" s="31">
        <f t="shared" si="33"/>
        <v>0</v>
      </c>
      <c r="AC255" s="31">
        <f t="shared" si="33"/>
        <v>3</v>
      </c>
      <c r="AD255" s="31">
        <f t="shared" si="33"/>
        <v>175.70999999999998</v>
      </c>
      <c r="AE255" s="31">
        <f t="shared" si="33"/>
        <v>265.08</v>
      </c>
      <c r="AF255" s="26">
        <f t="shared" si="33"/>
        <v>-89.37</v>
      </c>
      <c r="AG255" s="33">
        <f t="shared" si="33"/>
        <v>43.927499999999995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FJM Miranda FC</v>
      </c>
      <c r="Y256" s="31">
        <f t="shared" si="34"/>
        <v>1</v>
      </c>
      <c r="Z256" s="31">
        <f t="shared" si="34"/>
        <v>4</v>
      </c>
      <c r="AA256" s="31">
        <f t="shared" si="34"/>
        <v>0</v>
      </c>
      <c r="AB256" s="31">
        <f t="shared" si="34"/>
        <v>1</v>
      </c>
      <c r="AC256" s="31">
        <f t="shared" si="34"/>
        <v>3</v>
      </c>
      <c r="AD256" s="31">
        <f t="shared" si="34"/>
        <v>219.17000000000002</v>
      </c>
      <c r="AE256" s="31">
        <f t="shared" si="34"/>
        <v>287.15999999999997</v>
      </c>
      <c r="AF256" s="26">
        <f t="shared" si="34"/>
        <v>-67.989999999999952</v>
      </c>
      <c r="AG256" s="33">
        <f t="shared" si="34"/>
        <v>54.792500000000004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Nautico1998</v>
      </c>
      <c r="Y257" s="31">
        <f t="shared" si="34"/>
        <v>1</v>
      </c>
      <c r="Z257" s="31">
        <f t="shared" si="34"/>
        <v>4</v>
      </c>
      <c r="AA257" s="31">
        <f t="shared" si="34"/>
        <v>0</v>
      </c>
      <c r="AB257" s="31">
        <f t="shared" si="34"/>
        <v>1</v>
      </c>
      <c r="AC257" s="31">
        <f t="shared" si="34"/>
        <v>3</v>
      </c>
      <c r="AD257" s="31">
        <f t="shared" si="34"/>
        <v>199.25</v>
      </c>
      <c r="AE257" s="31">
        <f t="shared" si="34"/>
        <v>282.8</v>
      </c>
      <c r="AF257" s="26">
        <f t="shared" si="34"/>
        <v>-83.550000000000011</v>
      </c>
      <c r="AG257" s="33">
        <f t="shared" si="34"/>
        <v>49.8125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Bruno_007MTB</v>
      </c>
      <c r="Y258" s="19">
        <f t="shared" si="34"/>
        <v>0</v>
      </c>
      <c r="Z258" s="19">
        <f t="shared" si="34"/>
        <v>4</v>
      </c>
      <c r="AA258" s="19">
        <f t="shared" si="34"/>
        <v>0</v>
      </c>
      <c r="AB258" s="19">
        <f t="shared" si="34"/>
        <v>0</v>
      </c>
      <c r="AC258" s="19">
        <f t="shared" si="34"/>
        <v>4</v>
      </c>
      <c r="AD258" s="19">
        <f t="shared" si="34"/>
        <v>185.53000000000003</v>
      </c>
      <c r="AE258" s="19">
        <f t="shared" si="34"/>
        <v>334.81</v>
      </c>
      <c r="AF258" s="27">
        <f t="shared" si="34"/>
        <v>-149.27999999999997</v>
      </c>
      <c r="AG258" s="34">
        <f t="shared" si="34"/>
        <v>46.382500000000007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C9" sqref="C9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1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0</v>
      </c>
      <c r="J6" s="50"/>
    </row>
    <row r="7" spans="1:10" ht="18.75" x14ac:dyDescent="0.25">
      <c r="A7" s="58" t="s">
        <v>98</v>
      </c>
      <c r="B7" s="2" t="s">
        <v>97</v>
      </c>
      <c r="C7" s="2">
        <v>1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0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1</v>
      </c>
      <c r="J15" s="50"/>
    </row>
    <row r="16" spans="1:10" ht="18.75" x14ac:dyDescent="0.25">
      <c r="A16" s="58" t="s">
        <v>63</v>
      </c>
      <c r="B16" s="2" t="s">
        <v>62</v>
      </c>
      <c r="C16" s="2">
        <v>0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2026-08-18T19:41:43Z</dcterms:modified>
</cp:coreProperties>
</file>